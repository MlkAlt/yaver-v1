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lik\Desktop\okul\2025 analizler\2. Dönem analizler\"/>
    </mc:Choice>
  </mc:AlternateContent>
  <bookViews>
    <workbookView xWindow="0" yWindow="0" windowWidth="23040" windowHeight="8652" tabRatio="910"/>
  </bookViews>
  <sheets>
    <sheet name="BOŞ" sheetId="79" r:id="rId1"/>
    <sheet name="ÖĞRENCİ LİSTESİ" sheetId="80" r:id="rId2"/>
  </sheets>
  <definedNames>
    <definedName name="_xlnm._FilterDatabase" localSheetId="0" hidden="1">BOŞ!$B$12:$AH$53</definedName>
    <definedName name="_xlnm._FilterDatabase" localSheetId="1" hidden="1">'ÖĞRENCİ LİSTESİ'!$A$1:$O$447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79" l="1"/>
  <c r="S15" i="79"/>
  <c r="F13" i="79" l="1"/>
  <c r="F14" i="79"/>
  <c r="F15" i="79"/>
  <c r="F16" i="79"/>
  <c r="F17" i="79"/>
  <c r="F18" i="79"/>
  <c r="F19" i="79"/>
  <c r="F20" i="79"/>
  <c r="F21" i="79"/>
  <c r="F22" i="79"/>
  <c r="F23" i="79"/>
  <c r="F24" i="79"/>
  <c r="F25" i="79"/>
  <c r="F26" i="79"/>
  <c r="F27" i="79"/>
  <c r="F28" i="79"/>
  <c r="F29" i="79" l="1"/>
  <c r="F30" i="79"/>
  <c r="F31" i="79"/>
  <c r="F32" i="79"/>
  <c r="F33" i="79"/>
  <c r="F34" i="79"/>
  <c r="F35" i="79"/>
  <c r="F36" i="79"/>
  <c r="F37" i="79"/>
  <c r="F38" i="79"/>
  <c r="F39" i="79"/>
  <c r="F40" i="79"/>
  <c r="F41" i="79"/>
  <c r="F42" i="79"/>
  <c r="F43" i="79"/>
  <c r="F44" i="79"/>
  <c r="F45" i="79"/>
  <c r="F46" i="79"/>
  <c r="AA10" i="79" l="1"/>
  <c r="AB10" i="79"/>
  <c r="AC10" i="79"/>
  <c r="AD10" i="79"/>
  <c r="AE10" i="79"/>
  <c r="AF10" i="79"/>
  <c r="AG10" i="79"/>
  <c r="AH10" i="79"/>
  <c r="AI10" i="79"/>
  <c r="N52" i="79" l="1"/>
  <c r="M52" i="79"/>
  <c r="L52" i="79"/>
  <c r="K52" i="79"/>
  <c r="J52" i="79"/>
  <c r="I52" i="79"/>
  <c r="H52" i="79"/>
  <c r="G52" i="79"/>
  <c r="A12" i="79"/>
  <c r="A31" i="79" s="1"/>
  <c r="S11" i="79"/>
  <c r="Z10" i="79"/>
  <c r="Y10" i="79"/>
  <c r="X10" i="79"/>
  <c r="AG9" i="79"/>
  <c r="AF9" i="79"/>
  <c r="AE9" i="79"/>
  <c r="AD9" i="79"/>
  <c r="AC9" i="79"/>
  <c r="AB9" i="79"/>
  <c r="AA9" i="79"/>
  <c r="Z9" i="79"/>
  <c r="Y9" i="79"/>
  <c r="X9" i="79"/>
  <c r="Y13" i="79" l="1"/>
  <c r="AG14" i="79"/>
  <c r="T13" i="79"/>
  <c r="AI13" i="79" s="1"/>
  <c r="AD13" i="79"/>
  <c r="AE13" i="79"/>
  <c r="AG13" i="79"/>
  <c r="Z13" i="79"/>
  <c r="AB13" i="79"/>
  <c r="A19" i="79"/>
  <c r="A46" i="79"/>
  <c r="AC13" i="79"/>
  <c r="A18" i="79"/>
  <c r="A45" i="79"/>
  <c r="A17" i="79"/>
  <c r="A44" i="79"/>
  <c r="A24" i="79"/>
  <c r="A43" i="79"/>
  <c r="X13" i="79"/>
  <c r="AF13" i="79"/>
  <c r="A16" i="79"/>
  <c r="A23" i="79"/>
  <c r="A42" i="79"/>
  <c r="A15" i="79"/>
  <c r="A22" i="79"/>
  <c r="A33" i="79"/>
  <c r="A14" i="79"/>
  <c r="A21" i="79"/>
  <c r="A27" i="79"/>
  <c r="A32" i="79"/>
  <c r="A13" i="79"/>
  <c r="AA13" i="79"/>
  <c r="A20" i="79"/>
  <c r="AC14" i="79" l="1"/>
  <c r="Z14" i="79"/>
  <c r="S14" i="79"/>
  <c r="T14" i="79" s="1"/>
  <c r="AI14" i="79" s="1"/>
  <c r="AA14" i="79"/>
  <c r="AD14" i="79"/>
  <c r="Y15" i="79"/>
  <c r="AE14" i="79"/>
  <c r="AB14" i="79"/>
  <c r="X14" i="79"/>
  <c r="Y14" i="79"/>
  <c r="AF14" i="79"/>
  <c r="AH13" i="79"/>
  <c r="AH14" i="79" l="1"/>
  <c r="AG15" i="79"/>
  <c r="AG16" i="79"/>
  <c r="AE15" i="79"/>
  <c r="X15" i="79"/>
  <c r="AB15" i="79"/>
  <c r="AC15" i="79"/>
  <c r="Z15" i="79"/>
  <c r="T15" i="79"/>
  <c r="AI15" i="79" s="1"/>
  <c r="AA15" i="79"/>
  <c r="AD15" i="79"/>
  <c r="AF15" i="79"/>
  <c r="X16" i="79" l="1"/>
  <c r="AA16" i="79"/>
  <c r="AC16" i="79"/>
  <c r="Z16" i="79"/>
  <c r="AE16" i="79"/>
  <c r="AB16" i="79"/>
  <c r="AF16" i="79"/>
  <c r="S16" i="79"/>
  <c r="T16" i="79" s="1"/>
  <c r="AI16" i="79" s="1"/>
  <c r="Y16" i="79"/>
  <c r="AD16" i="79"/>
  <c r="AH15" i="79"/>
  <c r="AH16" i="79" l="1"/>
  <c r="AC17" i="79"/>
  <c r="AD17" i="79" l="1"/>
  <c r="AE17" i="79"/>
  <c r="Z17" i="79"/>
  <c r="Y17" i="79"/>
  <c r="AG17" i="79"/>
  <c r="S17" i="79"/>
  <c r="T17" i="79" s="1"/>
  <c r="AI17" i="79" s="1"/>
  <c r="X17" i="79"/>
  <c r="AA17" i="79"/>
  <c r="AF17" i="79"/>
  <c r="AD18" i="79"/>
  <c r="AB17" i="79"/>
  <c r="AH17" i="79" l="1"/>
  <c r="Z18" i="79"/>
  <c r="X18" i="79"/>
  <c r="AA18" i="79"/>
  <c r="AF18" i="79"/>
  <c r="Z19" i="79"/>
  <c r="Y18" i="79"/>
  <c r="AE18" i="79"/>
  <c r="AB18" i="79"/>
  <c r="AG18" i="79"/>
  <c r="AC18" i="79"/>
  <c r="S18" i="79"/>
  <c r="T18" i="79" s="1"/>
  <c r="AI18" i="79" s="1"/>
  <c r="AE20" i="79" l="1"/>
  <c r="AD19" i="79"/>
  <c r="AE19" i="79"/>
  <c r="Y19" i="79"/>
  <c r="AF19" i="79"/>
  <c r="AA19" i="79"/>
  <c r="AG19" i="79"/>
  <c r="AB19" i="79"/>
  <c r="S19" i="79"/>
  <c r="T19" i="79" s="1"/>
  <c r="AI19" i="79" s="1"/>
  <c r="X19" i="79"/>
  <c r="AC19" i="79"/>
  <c r="AH18" i="79"/>
  <c r="AA20" i="79"/>
  <c r="Z20" i="79"/>
  <c r="AD20" i="79"/>
  <c r="AC20" i="79"/>
  <c r="X20" i="79" l="1"/>
  <c r="AF20" i="79"/>
  <c r="Y20" i="79"/>
  <c r="S20" i="79"/>
  <c r="T20" i="79" s="1"/>
  <c r="AI20" i="79" s="1"/>
  <c r="AB20" i="79"/>
  <c r="AG20" i="79"/>
  <c r="AH19" i="79"/>
  <c r="AB21" i="79"/>
  <c r="AA21" i="79"/>
  <c r="Z21" i="79"/>
  <c r="AG21" i="79"/>
  <c r="Y21" i="79"/>
  <c r="AF21" i="79"/>
  <c r="X21" i="79"/>
  <c r="AE21" i="79"/>
  <c r="AD21" i="79"/>
  <c r="S21" i="79"/>
  <c r="T21" i="79" s="1"/>
  <c r="AI21" i="79" s="1"/>
  <c r="AC21" i="79"/>
  <c r="AH20" i="79" l="1"/>
  <c r="AH21" i="79"/>
  <c r="AC22" i="79"/>
  <c r="AB22" i="79"/>
  <c r="AA22" i="79"/>
  <c r="Z22" i="79"/>
  <c r="AG22" i="79"/>
  <c r="Y22" i="79"/>
  <c r="AF22" i="79"/>
  <c r="X22" i="79"/>
  <c r="AE22" i="79"/>
  <c r="AD22" i="79"/>
  <c r="S22" i="79"/>
  <c r="T22" i="79" s="1"/>
  <c r="AI22" i="79" s="1"/>
  <c r="AH22" i="79" l="1"/>
  <c r="AD23" i="79"/>
  <c r="S23" i="79"/>
  <c r="T23" i="79" s="1"/>
  <c r="AI23" i="79" s="1"/>
  <c r="AC23" i="79"/>
  <c r="AB23" i="79"/>
  <c r="AA23" i="79"/>
  <c r="Z23" i="79"/>
  <c r="AG23" i="79"/>
  <c r="Y23" i="79"/>
  <c r="AF23" i="79"/>
  <c r="X23" i="79"/>
  <c r="AE23" i="79"/>
  <c r="AH23" i="79" l="1"/>
  <c r="AE24" i="79"/>
  <c r="AD24" i="79"/>
  <c r="S24" i="79"/>
  <c r="T24" i="79" s="1"/>
  <c r="AI24" i="79" s="1"/>
  <c r="AC24" i="79"/>
  <c r="AB24" i="79"/>
  <c r="AA24" i="79"/>
  <c r="Z24" i="79"/>
  <c r="AG24" i="79"/>
  <c r="Y24" i="79"/>
  <c r="AF24" i="79"/>
  <c r="X24" i="79"/>
  <c r="AH24" i="79" l="1"/>
  <c r="AG25" i="79"/>
  <c r="Y25" i="79"/>
  <c r="AF25" i="79"/>
  <c r="X25" i="79"/>
  <c r="AE25" i="79"/>
  <c r="AD25" i="79"/>
  <c r="S25" i="79"/>
  <c r="T25" i="79" s="1"/>
  <c r="AI25" i="79" s="1"/>
  <c r="AC25" i="79"/>
  <c r="AB25" i="79"/>
  <c r="AA25" i="79"/>
  <c r="Z25" i="79"/>
  <c r="AH25" i="79" l="1"/>
  <c r="AA26" i="79"/>
  <c r="Z26" i="79"/>
  <c r="AG26" i="79"/>
  <c r="Y26" i="79"/>
  <c r="AF26" i="79"/>
  <c r="X26" i="79"/>
  <c r="AE26" i="79"/>
  <c r="AD26" i="79"/>
  <c r="S26" i="79"/>
  <c r="T26" i="79" s="1"/>
  <c r="AI26" i="79" s="1"/>
  <c r="AC26" i="79"/>
  <c r="AB26" i="79"/>
  <c r="AH26" i="79" l="1"/>
  <c r="AB27" i="79"/>
  <c r="AA27" i="79"/>
  <c r="Z27" i="79"/>
  <c r="AG27" i="79"/>
  <c r="Y27" i="79"/>
  <c r="AF27" i="79"/>
  <c r="X27" i="79"/>
  <c r="AE27" i="79"/>
  <c r="AD27" i="79"/>
  <c r="S27" i="79"/>
  <c r="T27" i="79" s="1"/>
  <c r="AI27" i="79" s="1"/>
  <c r="AC27" i="79"/>
  <c r="AH27" i="79" l="1"/>
  <c r="AD28" i="79"/>
  <c r="S28" i="79"/>
  <c r="T28" i="79" s="1"/>
  <c r="AI28" i="79" s="1"/>
  <c r="AC28" i="79"/>
  <c r="AB28" i="79"/>
  <c r="AA28" i="79"/>
  <c r="B29" i="79"/>
  <c r="Z28" i="79"/>
  <c r="AG28" i="79"/>
  <c r="Y28" i="79"/>
  <c r="AF28" i="79"/>
  <c r="X28" i="79"/>
  <c r="AE28" i="79"/>
  <c r="AH28" i="79" l="1"/>
  <c r="AF29" i="79"/>
  <c r="X29" i="79"/>
  <c r="AE29" i="79"/>
  <c r="AD29" i="79"/>
  <c r="S29" i="79"/>
  <c r="T29" i="79" s="1"/>
  <c r="AI29" i="79" s="1"/>
  <c r="AC29" i="79"/>
  <c r="AB29" i="79"/>
  <c r="AA29" i="79"/>
  <c r="B30" i="79"/>
  <c r="Z29" i="79"/>
  <c r="AG29" i="79"/>
  <c r="Y29" i="79"/>
  <c r="AH29" i="79" l="1"/>
  <c r="Z30" i="79"/>
  <c r="AG30" i="79"/>
  <c r="Y30" i="79"/>
  <c r="AF30" i="79"/>
  <c r="X30" i="79"/>
  <c r="AE30" i="79"/>
  <c r="AD30" i="79"/>
  <c r="S30" i="79"/>
  <c r="T30" i="79" s="1"/>
  <c r="AI30" i="79" s="1"/>
  <c r="AC30" i="79"/>
  <c r="AB30" i="79"/>
  <c r="B31" i="79"/>
  <c r="AA30" i="79"/>
  <c r="AH30" i="79" l="1"/>
  <c r="B32" i="79"/>
  <c r="AA31" i="79"/>
  <c r="Z31" i="79"/>
  <c r="AG31" i="79"/>
  <c r="Y31" i="79"/>
  <c r="AF31" i="79"/>
  <c r="X31" i="79"/>
  <c r="AE31" i="79"/>
  <c r="AD31" i="79"/>
  <c r="S31" i="79"/>
  <c r="T31" i="79" s="1"/>
  <c r="AI31" i="79" s="1"/>
  <c r="AC31" i="79"/>
  <c r="AB31" i="79"/>
  <c r="AH31" i="79" l="1"/>
  <c r="AB32" i="79"/>
  <c r="B33" i="79"/>
  <c r="AA32" i="79"/>
  <c r="Z32" i="79"/>
  <c r="AG32" i="79"/>
  <c r="Y32" i="79"/>
  <c r="AF32" i="79"/>
  <c r="X32" i="79"/>
  <c r="AE32" i="79"/>
  <c r="AD32" i="79"/>
  <c r="S32" i="79"/>
  <c r="T32" i="79" s="1"/>
  <c r="AI32" i="79" s="1"/>
  <c r="AC32" i="79"/>
  <c r="AH32" i="79" l="1"/>
  <c r="AC33" i="79"/>
  <c r="AB33" i="79"/>
  <c r="AA33" i="79"/>
  <c r="B34" i="79"/>
  <c r="Z33" i="79"/>
  <c r="AG33" i="79"/>
  <c r="Y33" i="79"/>
  <c r="AF33" i="79"/>
  <c r="X33" i="79"/>
  <c r="AE33" i="79"/>
  <c r="AD33" i="79"/>
  <c r="S33" i="79"/>
  <c r="T33" i="79" s="1"/>
  <c r="AI33" i="79" s="1"/>
  <c r="AH33" i="79" l="1"/>
  <c r="AE34" i="79"/>
  <c r="AD34" i="79"/>
  <c r="S34" i="79"/>
  <c r="T34" i="79" s="1"/>
  <c r="AI34" i="79" s="1"/>
  <c r="AC34" i="79"/>
  <c r="AB34" i="79"/>
  <c r="AA34" i="79"/>
  <c r="B35" i="79"/>
  <c r="Z34" i="79"/>
  <c r="AG34" i="79"/>
  <c r="Y34" i="79"/>
  <c r="AF34" i="79"/>
  <c r="X34" i="79"/>
  <c r="AH34" i="79" l="1"/>
  <c r="AG35" i="79"/>
  <c r="Y35" i="79"/>
  <c r="AF35" i="79"/>
  <c r="X35" i="79"/>
  <c r="AE35" i="79"/>
  <c r="AD35" i="79"/>
  <c r="S35" i="79"/>
  <c r="T35" i="79" s="1"/>
  <c r="AI35" i="79" s="1"/>
  <c r="AC35" i="79"/>
  <c r="AB35" i="79"/>
  <c r="AA35" i="79"/>
  <c r="B36" i="79"/>
  <c r="Z35" i="79"/>
  <c r="AH35" i="79" l="1"/>
  <c r="AA36" i="79"/>
  <c r="B37" i="79"/>
  <c r="Z36" i="79"/>
  <c r="AG36" i="79"/>
  <c r="Y36" i="79"/>
  <c r="AF36" i="79"/>
  <c r="X36" i="79"/>
  <c r="AE36" i="79"/>
  <c r="AD36" i="79"/>
  <c r="S36" i="79"/>
  <c r="T36" i="79" s="1"/>
  <c r="AI36" i="79" s="1"/>
  <c r="AC36" i="79"/>
  <c r="AB36" i="79"/>
  <c r="AH36" i="79" l="1"/>
  <c r="AC37" i="79"/>
  <c r="AB37" i="79"/>
  <c r="AA37" i="79"/>
  <c r="B38" i="79"/>
  <c r="Z37" i="79"/>
  <c r="AG37" i="79"/>
  <c r="Y37" i="79"/>
  <c r="AF37" i="79"/>
  <c r="X37" i="79"/>
  <c r="AE37" i="79"/>
  <c r="AD37" i="79"/>
  <c r="S37" i="79"/>
  <c r="T37" i="79" s="1"/>
  <c r="AI37" i="79" s="1"/>
  <c r="AH37" i="79" l="1"/>
  <c r="AE38" i="79"/>
  <c r="AD38" i="79"/>
  <c r="S38" i="79"/>
  <c r="T38" i="79" s="1"/>
  <c r="AI38" i="79" s="1"/>
  <c r="AC38" i="79"/>
  <c r="AB38" i="79"/>
  <c r="AA38" i="79"/>
  <c r="B39" i="79"/>
  <c r="Z38" i="79"/>
  <c r="AG38" i="79"/>
  <c r="Y38" i="79"/>
  <c r="AF38" i="79"/>
  <c r="X38" i="79"/>
  <c r="AH38" i="79" l="1"/>
  <c r="AG39" i="79"/>
  <c r="Y39" i="79"/>
  <c r="AF39" i="79"/>
  <c r="X39" i="79"/>
  <c r="AE39" i="79"/>
  <c r="AD39" i="79"/>
  <c r="S39" i="79"/>
  <c r="T39" i="79" s="1"/>
  <c r="AI39" i="79" s="1"/>
  <c r="AC39" i="79"/>
  <c r="AB39" i="79"/>
  <c r="AA39" i="79"/>
  <c r="B40" i="79"/>
  <c r="Z39" i="79"/>
  <c r="AH39" i="79" l="1"/>
  <c r="AA40" i="79"/>
  <c r="B41" i="79"/>
  <c r="Z40" i="79"/>
  <c r="AG40" i="79"/>
  <c r="Y40" i="79"/>
  <c r="AF40" i="79"/>
  <c r="X40" i="79"/>
  <c r="AE40" i="79"/>
  <c r="AD40" i="79"/>
  <c r="S40" i="79"/>
  <c r="T40" i="79" s="1"/>
  <c r="AI40" i="79" s="1"/>
  <c r="AC40" i="79"/>
  <c r="AB40" i="79"/>
  <c r="AH40" i="79" l="1"/>
  <c r="AC41" i="79"/>
  <c r="AB41" i="79"/>
  <c r="B42" i="79"/>
  <c r="AA41" i="79"/>
  <c r="Z41" i="79"/>
  <c r="AG41" i="79"/>
  <c r="Y41" i="79"/>
  <c r="AF41" i="79"/>
  <c r="X41" i="79"/>
  <c r="AE41" i="79"/>
  <c r="AD41" i="79"/>
  <c r="S41" i="79"/>
  <c r="T41" i="79" s="1"/>
  <c r="AI41" i="79" s="1"/>
  <c r="AH41" i="79" l="1"/>
  <c r="AD42" i="79"/>
  <c r="S42" i="79"/>
  <c r="T42" i="79" s="1"/>
  <c r="AI42" i="79" s="1"/>
  <c r="AC42" i="79"/>
  <c r="AB42" i="79"/>
  <c r="B43" i="79"/>
  <c r="AA42" i="79"/>
  <c r="Z42" i="79"/>
  <c r="AG42" i="79"/>
  <c r="Y42" i="79"/>
  <c r="AF42" i="79"/>
  <c r="X42" i="79"/>
  <c r="AE42" i="79"/>
  <c r="AH42" i="79" l="1"/>
  <c r="AE43" i="79"/>
  <c r="AD43" i="79"/>
  <c r="S43" i="79"/>
  <c r="T43" i="79" s="1"/>
  <c r="AI43" i="79" s="1"/>
  <c r="AC43" i="79"/>
  <c r="AB43" i="79"/>
  <c r="B44" i="79"/>
  <c r="AA43" i="79"/>
  <c r="Z43" i="79"/>
  <c r="AG43" i="79"/>
  <c r="Y43" i="79"/>
  <c r="AF43" i="79"/>
  <c r="X43" i="79"/>
  <c r="AH43" i="79" l="1"/>
  <c r="AF44" i="79"/>
  <c r="X44" i="79"/>
  <c r="AE44" i="79"/>
  <c r="AD44" i="79"/>
  <c r="S44" i="79"/>
  <c r="T44" i="79" s="1"/>
  <c r="AI44" i="79" s="1"/>
  <c r="AC44" i="79"/>
  <c r="AB44" i="79"/>
  <c r="B45" i="79"/>
  <c r="AA44" i="79"/>
  <c r="Z44" i="79"/>
  <c r="AG44" i="79"/>
  <c r="Y44" i="79"/>
  <c r="AH44" i="79" l="1"/>
  <c r="AG45" i="79"/>
  <c r="Y45" i="79"/>
  <c r="AF45" i="79"/>
  <c r="X45" i="79"/>
  <c r="AE45" i="79"/>
  <c r="AD45" i="79"/>
  <c r="S45" i="79"/>
  <c r="T45" i="79" s="1"/>
  <c r="AI45" i="79" s="1"/>
  <c r="AC45" i="79"/>
  <c r="AB45" i="79"/>
  <c r="B46" i="79"/>
  <c r="AA45" i="79"/>
  <c r="Z45" i="79"/>
  <c r="AH45" i="79" l="1"/>
  <c r="Z46" i="79"/>
  <c r="AG46" i="79"/>
  <c r="Y46" i="79"/>
  <c r="AF46" i="79"/>
  <c r="X46" i="79"/>
  <c r="AE46" i="79"/>
  <c r="AD46" i="79"/>
  <c r="S46" i="79"/>
  <c r="T46" i="79" s="1"/>
  <c r="AI46" i="79" s="1"/>
  <c r="AC46" i="79"/>
  <c r="AB46" i="79"/>
  <c r="AA46" i="79"/>
  <c r="AH46" i="79" l="1"/>
  <c r="AH50" i="79" s="1"/>
  <c r="AI50" i="79"/>
  <c r="AI49" i="79"/>
  <c r="AI47" i="79"/>
  <c r="AI48" i="79"/>
  <c r="AF47" i="79"/>
  <c r="AF48" i="79"/>
  <c r="AF50" i="79"/>
  <c r="AF49" i="79"/>
  <c r="AD50" i="79"/>
  <c r="AD48" i="79"/>
  <c r="AD49" i="79"/>
  <c r="AD47" i="79"/>
  <c r="Y48" i="79"/>
  <c r="Y49" i="79"/>
  <c r="H49" i="79" s="1"/>
  <c r="Y50" i="79"/>
  <c r="Y47" i="79"/>
  <c r="AE49" i="79"/>
  <c r="AE50" i="79"/>
  <c r="AE48" i="79"/>
  <c r="AE47" i="79"/>
  <c r="AA50" i="79"/>
  <c r="AA48" i="79"/>
  <c r="AA49" i="79"/>
  <c r="J49" i="79" s="1"/>
  <c r="AA47" i="79"/>
  <c r="AB49" i="79"/>
  <c r="K49" i="79" s="1"/>
  <c r="AB48" i="79"/>
  <c r="AB47" i="79"/>
  <c r="AB50" i="79"/>
  <c r="AG48" i="79"/>
  <c r="AG49" i="79"/>
  <c r="AG47" i="79"/>
  <c r="AG50" i="79"/>
  <c r="T48" i="79"/>
  <c r="T49" i="79"/>
  <c r="S49" i="79" s="1"/>
  <c r="T50" i="79"/>
  <c r="X50" i="79"/>
  <c r="X47" i="79"/>
  <c r="X49" i="79"/>
  <c r="G49" i="79" s="1"/>
  <c r="X48" i="79"/>
  <c r="F48" i="79" s="1"/>
  <c r="F47" i="79" s="1"/>
  <c r="AC47" i="79"/>
  <c r="AC48" i="79"/>
  <c r="AC49" i="79"/>
  <c r="L49" i="79" s="1"/>
  <c r="AC50" i="79"/>
  <c r="Z50" i="79"/>
  <c r="Z47" i="79"/>
  <c r="Z49" i="79"/>
  <c r="I49" i="79" s="1"/>
  <c r="Z48" i="79"/>
  <c r="AH49" i="79" l="1"/>
  <c r="AH48" i="79"/>
  <c r="AH47" i="79"/>
  <c r="M49" i="79"/>
  <c r="M53" i="79" s="1"/>
  <c r="N49" i="79"/>
  <c r="N50" i="79" s="1"/>
  <c r="S50" i="79"/>
  <c r="I50" i="79"/>
  <c r="G50" i="79"/>
  <c r="K50" i="79"/>
  <c r="L53" i="79"/>
  <c r="K53" i="79"/>
  <c r="L50" i="79"/>
  <c r="J50" i="79"/>
  <c r="H50" i="79"/>
  <c r="J53" i="79"/>
  <c r="I53" i="79"/>
  <c r="H53" i="79"/>
  <c r="G53" i="79"/>
  <c r="S51" i="79"/>
  <c r="F57" i="79" s="1"/>
  <c r="N53" i="79" l="1"/>
  <c r="M50" i="79"/>
</calcChain>
</file>

<file path=xl/sharedStrings.xml><?xml version="1.0" encoding="utf-8"?>
<sst xmlns="http://schemas.openxmlformats.org/spreadsheetml/2006/main" count="1882" uniqueCount="1192">
  <si>
    <t>Sınava Giren Öğrenci Sayısı</t>
  </si>
  <si>
    <t>S.NO</t>
  </si>
  <si>
    <t>Başarı Yüzdesi</t>
  </si>
  <si>
    <t>Kazanım bazında başarısız olan öğrencilere tekrar çalışması yapılacaktır.</t>
  </si>
  <si>
    <t>Sınava Girmeyen Öğrenci Sayısı</t>
  </si>
  <si>
    <t>GENEL
BAŞARI</t>
  </si>
  <si>
    <t>SINAV 
PUANI</t>
  </si>
  <si>
    <t>ÖĞR.
NO</t>
  </si>
  <si>
    <t>UYGUNDUR</t>
  </si>
  <si>
    <t>Okul Müdürü</t>
  </si>
  <si>
    <t>SORULAR/KAZANIMLAR</t>
  </si>
  <si>
    <t xml:space="preserve">A GRUBU - KAZANIM SORU SIRASI </t>
  </si>
  <si>
    <t xml:space="preserve">B GRUBU - KAZANIM SORU SIRASI </t>
  </si>
  <si>
    <t>GRUP</t>
  </si>
  <si>
    <t>Muhasebe Öğretmeni</t>
  </si>
  <si>
    <t>Mehmet ŞAHİN</t>
  </si>
  <si>
    <t>Sınıfın tamamına ders çalışma teknikleri anlatılacaktır.</t>
  </si>
  <si>
    <t>BAŞARI KRİTERİ</t>
  </si>
  <si>
    <t xml:space="preserve">SORU </t>
  </si>
  <si>
    <t>PUANI</t>
  </si>
  <si>
    <t>SORU / KAZANIM PUANI</t>
  </si>
  <si>
    <t xml:space="preserve">KAZANIMLAR </t>
  </si>
  <si>
    <t>9-C</t>
  </si>
  <si>
    <t>BAŞARI DÜZEYİNİN ARTIRILMASI İÇİN ALINMASI PLANLANAN TEDBİRLER, YAPILACAK İŞ VE İŞLEMLER</t>
  </si>
  <si>
    <t>Soru/kazanım puanının yarısından düşük alan öğrenciler başarısız olarak değerlendirilmiştir.</t>
  </si>
  <si>
    <t>SINIF</t>
  </si>
  <si>
    <t>DERS ADI</t>
  </si>
  <si>
    <t>DÖNEM</t>
  </si>
  <si>
    <t>SINAV NO</t>
  </si>
  <si>
    <t>ÖĞRETİM YILI</t>
  </si>
  <si>
    <t>SENARYO NO</t>
  </si>
  <si>
    <t>SINAV ANALİZ VE DEĞERLENDİRME ÇİZELGESİ</t>
  </si>
  <si>
    <t>2024-2025</t>
  </si>
  <si>
    <t>Kazanıma göre BAŞARILI Öğrenci Sayısı</t>
  </si>
  <si>
    <t>Kazanıma göre BAŞARISIZ Öğrenci Sayısı</t>
  </si>
  <si>
    <t xml:space="preserve">Sınava giren öğrencilerin  </t>
  </si>
  <si>
    <t xml:space="preserve"> başarılı olmuştur.</t>
  </si>
  <si>
    <t>Öğrencilerin çoğunluğunun 1. kazanımı kavramadıkları görülmüştür. Bu kazanım konuları sınıfın tamamına tekrar edilecektir.</t>
  </si>
  <si>
    <t>Başarı yüzdesi  %50 nin altında kalan kazanımlar tekrar edilecektir.</t>
  </si>
  <si>
    <t>SOYADI</t>
  </si>
  <si>
    <t>ADI</t>
  </si>
  <si>
    <t>9-B</t>
  </si>
  <si>
    <t>ELİF AKDAĞ</t>
  </si>
  <si>
    <t>EVİN DEMİR</t>
  </si>
  <si>
    <t>ZÜMRA ÖZDENDİNLER</t>
  </si>
  <si>
    <t>RAMAZAN EGE DEMİR</t>
  </si>
  <si>
    <t>YASİN KOZAN</t>
  </si>
  <si>
    <t>MUHAMMET SEFA ŞİMŞEK</t>
  </si>
  <si>
    <t>MUHAMMED HAMZA ÇETİNKAYA</t>
  </si>
  <si>
    <t>DİLAN KOCA</t>
  </si>
  <si>
    <t>HASAN ALİ ŞİMŞEK</t>
  </si>
  <si>
    <t>NEVİN BUSE GÜNAR</t>
  </si>
  <si>
    <t>ESAT ÖZ</t>
  </si>
  <si>
    <t>EMİNE DİŞBUDAK</t>
  </si>
  <si>
    <t>NEBAHATGÜL ÇAKIRCA</t>
  </si>
  <si>
    <t>YİĞİT HAKTAN ASLAN</t>
  </si>
  <si>
    <t>HAFİZE GÜLEÇ</t>
  </si>
  <si>
    <t>BUKET ERDAL</t>
  </si>
  <si>
    <t>YUSUF BUĞRA KILIÇ</t>
  </si>
  <si>
    <t>MELTEM NUR KÖROĞLU</t>
  </si>
  <si>
    <t>ALİ ASLAN</t>
  </si>
  <si>
    <t>ASMİN KEYİK</t>
  </si>
  <si>
    <t>ESMA NUR BİRTEK</t>
  </si>
  <si>
    <t>NİSA NUR KART</t>
  </si>
  <si>
    <t>RAZİYE NUR GÖKER</t>
  </si>
  <si>
    <t>SEVİLA HAMARAT</t>
  </si>
  <si>
    <t>ZEYNEP EDA KIRIÇ</t>
  </si>
  <si>
    <t>BEREN KOYUNCU</t>
  </si>
  <si>
    <t>HÜSNA ADIEYİ</t>
  </si>
  <si>
    <t>MEHMET ÇİNİ</t>
  </si>
  <si>
    <t>EMİNE GÖKÇEN CANDAN</t>
  </si>
  <si>
    <t>ABDÜLAZİZ DİLEK</t>
  </si>
  <si>
    <t>MELEK CAN</t>
  </si>
  <si>
    <t>ZEYNEP ÜNLÜ</t>
  </si>
  <si>
    <t>ZEYNEP EBRAR BAŞOĞUL</t>
  </si>
  <si>
    <t>MEDİNE AYAOKU</t>
  </si>
  <si>
    <t>MUSTAFA KASAR</t>
  </si>
  <si>
    <t>CEMRE NİDANUR GÖLCÜ</t>
  </si>
  <si>
    <t>ÖZGE KARAKÜÇÜK</t>
  </si>
  <si>
    <t>EKREM TOPRAK</t>
  </si>
  <si>
    <t>EMİNE BEYZA AYGÜL</t>
  </si>
  <si>
    <t>GİZEM TEPE</t>
  </si>
  <si>
    <t>BATUHAN ASLAN</t>
  </si>
  <si>
    <t>CENNET BÜLBÜL</t>
  </si>
  <si>
    <t>BETÜL BERRAK</t>
  </si>
  <si>
    <t>MELİH GÖKBAŞ</t>
  </si>
  <si>
    <t>RAZİYENUR ÖZ</t>
  </si>
  <si>
    <t>MUSTAFA ÖZDEMİR</t>
  </si>
  <si>
    <t>MUSTAFA YİĞİT İŞYAPAN</t>
  </si>
  <si>
    <t>AZRA ARPACİ</t>
  </si>
  <si>
    <t>EREN ÇEŞMECİ</t>
  </si>
  <si>
    <t>YASİR ÖZTÜRK</t>
  </si>
  <si>
    <t>ENES TEZEL</t>
  </si>
  <si>
    <t>MEHMET EMİN YUNDEMLİ</t>
  </si>
  <si>
    <t>RAZİYE COŞKUN</t>
  </si>
  <si>
    <t>MELEK NUR ÖZOĞUL</t>
  </si>
  <si>
    <t>ZEYNEP SAVICI</t>
  </si>
  <si>
    <t>EMRE EROĞLU</t>
  </si>
  <si>
    <t>MUSA ÇAMLI</t>
  </si>
  <si>
    <t>GÖKÇE NAZ KALIN</t>
  </si>
  <si>
    <t>HEDİYE YAĞMUR ÇALI</t>
  </si>
  <si>
    <t>HÜSEYİN BOYUNSUZ</t>
  </si>
  <si>
    <t>9-D</t>
  </si>
  <si>
    <t>MUHAMMED MUSTAFA YILMAZ</t>
  </si>
  <si>
    <t>ASLI KARABÜLAK</t>
  </si>
  <si>
    <t>YAKAMOZ DURGUN</t>
  </si>
  <si>
    <t>ESMA NUR ÇEÇEN</t>
  </si>
  <si>
    <t>SUDENAZ ERSELEK</t>
  </si>
  <si>
    <t>MUHAMMET CAN BOSDANCI</t>
  </si>
  <si>
    <t>FATMA ZEHRA ALKAN</t>
  </si>
  <si>
    <t>BUSE NAZ ASLAN</t>
  </si>
  <si>
    <t>EBVA SULTAN YÖRÜMEZ</t>
  </si>
  <si>
    <t>ZEYNEP GÜNGÖR</t>
  </si>
  <si>
    <t>MERYEM FİDANBOY</t>
  </si>
  <si>
    <t>FAHRETTİN TELLİÜNLÜ</t>
  </si>
  <si>
    <t>İSMET EFE DOĞAN</t>
  </si>
  <si>
    <t>HASAN MERT ÇATLI</t>
  </si>
  <si>
    <t>YASEMİN ATICI</t>
  </si>
  <si>
    <t>ABDULLAH EFE AKGÜN</t>
  </si>
  <si>
    <t>MERVE SENA SARAÇ</t>
  </si>
  <si>
    <t>ÖMER TALHA UÇAR</t>
  </si>
  <si>
    <t>HASAN BULUT ARSLAN</t>
  </si>
  <si>
    <t>NİMET DEVELİ</t>
  </si>
  <si>
    <t>TUĞÇE KARAYURT</t>
  </si>
  <si>
    <t>DEMİRHAN BAYRAM</t>
  </si>
  <si>
    <t>9-E</t>
  </si>
  <si>
    <t>GÜLSİNEM EKEN</t>
  </si>
  <si>
    <t>NİDA NADİYE DEVECİ</t>
  </si>
  <si>
    <t>KEZİBAN NİSA TOPBAŞ</t>
  </si>
  <si>
    <t>RÜMEYSA YAŞAR</t>
  </si>
  <si>
    <t>ESMANUR BİÇERLİ</t>
  </si>
  <si>
    <t>İLAYDA ELMALI</t>
  </si>
  <si>
    <t>MUHAMMET GÜNEYLİ</t>
  </si>
  <si>
    <t>ZEYNEB GÜÇLÜ</t>
  </si>
  <si>
    <t>AYSEL ÖZKAN</t>
  </si>
  <si>
    <t>ECRİN ŞAHİN</t>
  </si>
  <si>
    <t>ESER EFE ŞAYAK</t>
  </si>
  <si>
    <t>RECEP BERAT İNGİT</t>
  </si>
  <si>
    <t>SUDENAZ KURTBAY</t>
  </si>
  <si>
    <t>YAREN ECE ARKIN</t>
  </si>
  <si>
    <t>EMİRKAN ÜSTÜNDAĞ</t>
  </si>
  <si>
    <t>HACER REYYAN KORKMAZ</t>
  </si>
  <si>
    <t>AYŞENAZ SARITAŞ</t>
  </si>
  <si>
    <t>NESLİHAN BAYAM</t>
  </si>
  <si>
    <t>İLAYDA TEKELİ</t>
  </si>
  <si>
    <t>HÜSEYİN ÜZÜM</t>
  </si>
  <si>
    <t>EMİRHAN BAYRAM</t>
  </si>
  <si>
    <t>MEHMET DOĞAN</t>
  </si>
  <si>
    <t>9-F</t>
  </si>
  <si>
    <t>NADİRE NİSA YEŞİLOBALIGİL</t>
  </si>
  <si>
    <t>GÜLBEYAZ YUŞAN</t>
  </si>
  <si>
    <t>İSMAİL AYAZ</t>
  </si>
  <si>
    <t>MEDİNE ÇALIŞKAN</t>
  </si>
  <si>
    <t>NERGİZ NUR GEZGİNCİ</t>
  </si>
  <si>
    <t>HALİME MERVE MUTLU</t>
  </si>
  <si>
    <t>HATİCE NİSA CANVAR</t>
  </si>
  <si>
    <t>RAVZA IŞIK</t>
  </si>
  <si>
    <t>SEMİH ÖZEN</t>
  </si>
  <si>
    <t>EMRE ENES ATABEY</t>
  </si>
  <si>
    <t>ABDULLAH DENİZ</t>
  </si>
  <si>
    <t>MEHMET KÖKYAR</t>
  </si>
  <si>
    <t>BERİL ADA KARABAKAN</t>
  </si>
  <si>
    <t>ASİYE YILDIRIM</t>
  </si>
  <si>
    <t>ABDULAZİZ ELHAC HASAN</t>
  </si>
  <si>
    <t>MERT AKER</t>
  </si>
  <si>
    <t>MOHAMMAD JAMIL TURKMEN</t>
  </si>
  <si>
    <t>HALİL İBRAHİM İLGİN</t>
  </si>
  <si>
    <t>ABDURREZZAK EL MUSTAFA</t>
  </si>
  <si>
    <t>SERHAT BAKTEMUR</t>
  </si>
  <si>
    <t>FATMANUR CANSU KANGAL</t>
  </si>
  <si>
    <t>GİZEM ECRİN TOPTAŞ</t>
  </si>
  <si>
    <t>BERAT BAĞCI</t>
  </si>
  <si>
    <t>ŞENGÜL BİLGE TAKMAZ</t>
  </si>
  <si>
    <t>İKRAM DEMİRBACAK</t>
  </si>
  <si>
    <t>ZAHRA MIRZAEI</t>
  </si>
  <si>
    <t>BÜŞRA HAŞİMOĞLU</t>
  </si>
  <si>
    <t>SAİM YAĞAR</t>
  </si>
  <si>
    <t>ISA DEMLEXI</t>
  </si>
  <si>
    <t>9-G</t>
  </si>
  <si>
    <t>AHMET BERAT MUTLU</t>
  </si>
  <si>
    <t>KEVSER TAKTAK</t>
  </si>
  <si>
    <t>BEDRİYE CANBAZ</t>
  </si>
  <si>
    <t>SUDENAZ KOÇAK</t>
  </si>
  <si>
    <t>AZİZ CAN ÇOBAN</t>
  </si>
  <si>
    <t>GİZEM CEYLAN</t>
  </si>
  <si>
    <t>HAVVA NUR BAYRAK</t>
  </si>
  <si>
    <t>MUSA ERYER</t>
  </si>
  <si>
    <t>YAĞMUR YALÇIN</t>
  </si>
  <si>
    <t>YAHYA ASLIVAR</t>
  </si>
  <si>
    <t>EMİRHAN TEMİZ</t>
  </si>
  <si>
    <t>RAMAZAN TEMİZ</t>
  </si>
  <si>
    <t>HÜSEYİN KANMAZ</t>
  </si>
  <si>
    <t>MARYAN MOSTAFA HOSSEİN</t>
  </si>
  <si>
    <t>HALİL EMRE KIRKAN</t>
  </si>
  <si>
    <t>ABDULLAH BAHARŞEN</t>
  </si>
  <si>
    <t>DENİZ ÇELİK</t>
  </si>
  <si>
    <t>EYÜPHAN EKİNCİ</t>
  </si>
  <si>
    <t>İKBAL NUR YILDIZ</t>
  </si>
  <si>
    <t>BERAY OLGUN</t>
  </si>
  <si>
    <t>VAHİT ŞEN</t>
  </si>
  <si>
    <t>NARİN ARIK</t>
  </si>
  <si>
    <t>EMİN ESKİOBA</t>
  </si>
  <si>
    <t>MÜBERRA GÖKÇE ERKOÇ</t>
  </si>
  <si>
    <t>ARDA ÖZKAYA</t>
  </si>
  <si>
    <t>ADEM ÜRÜN</t>
  </si>
  <si>
    <t>9-H</t>
  </si>
  <si>
    <t>ZEHRA ŞENEL KOÇAK</t>
  </si>
  <si>
    <t>SERVET URGUN</t>
  </si>
  <si>
    <t>ZEYNEPNUR KOÇAKER</t>
  </si>
  <si>
    <t>CAN AHMET KOÇAK</t>
  </si>
  <si>
    <t>SEVDA SU ABAŞ</t>
  </si>
  <si>
    <t>NUMAN VAROL</t>
  </si>
  <si>
    <t>MUHAMMET SAMET KILIÇ</t>
  </si>
  <si>
    <t>AHMET ERDOĞAN</t>
  </si>
  <si>
    <t>EBRAR AKTAY</t>
  </si>
  <si>
    <t>YAĞMUR KARAHAN</t>
  </si>
  <si>
    <t>HAYRUNNİSA HALVACI</t>
  </si>
  <si>
    <t>UĞUR BURAK KÜÇÜKÇİFCİ</t>
  </si>
  <si>
    <t>ÖMER FARUK GÜVEN</t>
  </si>
  <si>
    <t>AHMET YURTTAARSLAN</t>
  </si>
  <si>
    <t>RAVZA NUR SULUYER</t>
  </si>
  <si>
    <t>ŞEKÜRE ZEYNUBE YALÇIN</t>
  </si>
  <si>
    <t>EFSA NUR YAZGAN</t>
  </si>
  <si>
    <t>MUHAMMED SAMİ FURKAN KÖROĞLU</t>
  </si>
  <si>
    <t>ELİF EBRAR KAYABAŞI</t>
  </si>
  <si>
    <t>FATMA ALEYNA KÖKKAYA</t>
  </si>
  <si>
    <t>FADİME SENA GARİP</t>
  </si>
  <si>
    <t>MUHAMMET DOĞANAY ÇAKMAK</t>
  </si>
  <si>
    <t>ALPER CERAN</t>
  </si>
  <si>
    <t>RAMAZAN ÜNAL</t>
  </si>
  <si>
    <t>ABDÜLRAHMAN HÜSEYİN</t>
  </si>
  <si>
    <t>ALİ ALİOĞLU</t>
  </si>
  <si>
    <t>ELİF UYAR</t>
  </si>
  <si>
    <t>10-B</t>
  </si>
  <si>
    <t>ABDULLAH SELVİDAĞ</t>
  </si>
  <si>
    <t>EFLİN FÜNLÜ</t>
  </si>
  <si>
    <t>EBRAR TATOĞLU</t>
  </si>
  <si>
    <t>VESİLE GÜL KOYUNCU</t>
  </si>
  <si>
    <t>ÖZLEM EKENEL</t>
  </si>
  <si>
    <t>SAMET CAN DEMİR</t>
  </si>
  <si>
    <t>BEYZA NUR ÇALIŞKAN</t>
  </si>
  <si>
    <t>KEZBAN ÇEKİÇ</t>
  </si>
  <si>
    <t>SELAHATTİN DOĞRU</t>
  </si>
  <si>
    <t>YUSUF BERATCAN SARIGÜL</t>
  </si>
  <si>
    <t>AYŞEGÜL SEVİM</t>
  </si>
  <si>
    <t>CEYDA BAŞAK</t>
  </si>
  <si>
    <t>ABDURRAHMAN SAMİ ÇİFTCİ</t>
  </si>
  <si>
    <t>ZEYNEP SENA KAYNAK</t>
  </si>
  <si>
    <t>AHMET DENİZ ÖZKAN</t>
  </si>
  <si>
    <t>ELİF AKÇAY</t>
  </si>
  <si>
    <t>DİLEK ÇEKİÇ</t>
  </si>
  <si>
    <t>ALİYE İREM GÖZLÜ</t>
  </si>
  <si>
    <t>HAFİZENUR YILDIRIM</t>
  </si>
  <si>
    <t>HÜSEYİN ATAY</t>
  </si>
  <si>
    <t>10-C</t>
  </si>
  <si>
    <t>FATIMA ZEHRA KAPLAN</t>
  </si>
  <si>
    <t>ARDA BODUROĞLU</t>
  </si>
  <si>
    <t>ÖMER UFUK ŞAHİN</t>
  </si>
  <si>
    <t>MUSTAFA CİBELİK</t>
  </si>
  <si>
    <t>ABDULLAH BAYRAM</t>
  </si>
  <si>
    <t>BÜŞRA ÜNLÜ</t>
  </si>
  <si>
    <t>NEHİR ELVER</t>
  </si>
  <si>
    <t>ŞAHASER SANCI</t>
  </si>
  <si>
    <t>SAFİYE BEKTAŞ</t>
  </si>
  <si>
    <t>NADİR ÖZÇELİK</t>
  </si>
  <si>
    <t>ŞEVVAL RANA NUR</t>
  </si>
  <si>
    <t>HAVVA RAVZA SEVİNDİK</t>
  </si>
  <si>
    <t>BÜŞRA DEMİR</t>
  </si>
  <si>
    <t>HİLAL ÖZCAN</t>
  </si>
  <si>
    <t>HASAN GÜLEÇ</t>
  </si>
  <si>
    <t>ABDÜLKADİR PİŞGİN</t>
  </si>
  <si>
    <t>HÜSEYİN BÜYÜKSENÇ</t>
  </si>
  <si>
    <t>10-D</t>
  </si>
  <si>
    <t>ELİF ŞERİFE KARPUZ</t>
  </si>
  <si>
    <t>HAYRUNNİSA ALACA</t>
  </si>
  <si>
    <t>VELİ ÇIRACI</t>
  </si>
  <si>
    <t>MUHAMMET ESAT KEÇECİ</t>
  </si>
  <si>
    <t>10-G</t>
  </si>
  <si>
    <t>MEVLÜT CAN ALINAK</t>
  </si>
  <si>
    <t>BERAT HATIRA</t>
  </si>
  <si>
    <t>11-B</t>
  </si>
  <si>
    <t>MUAMMER EMİRHAN ERİK</t>
  </si>
  <si>
    <t>BEYZA GİRGİN</t>
  </si>
  <si>
    <t>IRMAK ÇOKOKUKLU</t>
  </si>
  <si>
    <t>AYSEL CANDAN</t>
  </si>
  <si>
    <t>BELİNAY KARADAĞ</t>
  </si>
  <si>
    <t>MELİKE BOZDAMLI</t>
  </si>
  <si>
    <t>KÜBRA UFUK</t>
  </si>
  <si>
    <t>ERVA GÖKÇE</t>
  </si>
  <si>
    <t>SUDE NAZ TAŞÇI</t>
  </si>
  <si>
    <t>MURAT KARAMAN</t>
  </si>
  <si>
    <t>ŞUHEDA BETÜL ÖĞRETMEN</t>
  </si>
  <si>
    <t>HURİYE İCLAL ÖĞRETMEN</t>
  </si>
  <si>
    <t>SUDE YILDIRIM</t>
  </si>
  <si>
    <t>MELİSA KILIÇ</t>
  </si>
  <si>
    <t>ŞERİFENUR KOYUNCU</t>
  </si>
  <si>
    <t>EBRA SATI</t>
  </si>
  <si>
    <t>MERVE NUR SARI</t>
  </si>
  <si>
    <t>MELİKE ALKAN</t>
  </si>
  <si>
    <t>BERFİN ÇAĞLAR</t>
  </si>
  <si>
    <t>BEYZA GÜL ELKATMIŞ</t>
  </si>
  <si>
    <t>RAZİYE BAŞARAN</t>
  </si>
  <si>
    <t>EBRAR YILMAZ</t>
  </si>
  <si>
    <t>AYŞE AKIN</t>
  </si>
  <si>
    <t>KADER AL</t>
  </si>
  <si>
    <t>HATİCE ÇETİN</t>
  </si>
  <si>
    <t>YAĞMUR ÜNAL</t>
  </si>
  <si>
    <t>ELİF SUDE EVELEKLER</t>
  </si>
  <si>
    <t>MUHAMMED SALİH ESEN</t>
  </si>
  <si>
    <t>DİLAY GÜMÜŞ</t>
  </si>
  <si>
    <t>AYŞE DURSUNE TOK</t>
  </si>
  <si>
    <t>11-C</t>
  </si>
  <si>
    <t>AYŞE DURMAZ</t>
  </si>
  <si>
    <t>RASİM ARHAN YAKARER</t>
  </si>
  <si>
    <t>DAMLA SU USLU</t>
  </si>
  <si>
    <t>MUSTAFA KELEŞ</t>
  </si>
  <si>
    <t>ABDÜSSAMET MUTLU</t>
  </si>
  <si>
    <t>AHMET FATİH YALÇIN</t>
  </si>
  <si>
    <t>CAFER CAN KARADAĞ</t>
  </si>
  <si>
    <t>ABDULLAH MUHAMMED KOZAN</t>
  </si>
  <si>
    <t>YASİN BERKE CAN</t>
  </si>
  <si>
    <t>GÜLSELİ YİĞİT</t>
  </si>
  <si>
    <t>OSMAN MERT SAHİPOĞLU</t>
  </si>
  <si>
    <t>FATMA ERCAN</t>
  </si>
  <si>
    <t>EBUL VEFA ÜZÜM</t>
  </si>
  <si>
    <t>KADİR ERCAN MARTİN</t>
  </si>
  <si>
    <t>HASAN HÜSEYİN ESER</t>
  </si>
  <si>
    <t>MEHMET HAN EKİZ</t>
  </si>
  <si>
    <t>MEHMET ENES ELDEK</t>
  </si>
  <si>
    <t>MEHMET BOZKURT</t>
  </si>
  <si>
    <t>MEHMET EREN SÜMER</t>
  </si>
  <si>
    <t>CEYLİN IŞIK</t>
  </si>
  <si>
    <t>FURKAN ÖZ</t>
  </si>
  <si>
    <t>11-D</t>
  </si>
  <si>
    <t>FURKAN ALTINPINAR</t>
  </si>
  <si>
    <t>RAHİME TOK</t>
  </si>
  <si>
    <t>MERVE GÜRBÜZ</t>
  </si>
  <si>
    <t>OSMAN AÇA</t>
  </si>
  <si>
    <t>ŞEVVAL CESUR</t>
  </si>
  <si>
    <t>HASAN CAN FİDAN</t>
  </si>
  <si>
    <t>11-F</t>
  </si>
  <si>
    <t>EGEHAN KABAKCI</t>
  </si>
  <si>
    <t>YUSUF GENÇ</t>
  </si>
  <si>
    <t>RABİA NUR SERİN</t>
  </si>
  <si>
    <t>12-B</t>
  </si>
  <si>
    <t>BERAT OLCAY</t>
  </si>
  <si>
    <t>GÜLER SUDEM TAŞÇIOĞLU</t>
  </si>
  <si>
    <t>LATİFE ÜMRAN ERCAN</t>
  </si>
  <si>
    <t>MUHAMMET BERAT ÇINAR</t>
  </si>
  <si>
    <t>HAYRUNNİSA ŞAHİN</t>
  </si>
  <si>
    <t>NEŞE KIRMAZ</t>
  </si>
  <si>
    <t>ALİ BEDİRHAN YILMAZ</t>
  </si>
  <si>
    <t>MELİKE HÜMA KÜÇÜKSÖNMEZ</t>
  </si>
  <si>
    <t>ECEM ÖZ</t>
  </si>
  <si>
    <t>EFEKAN SARAÇOĞLU</t>
  </si>
  <si>
    <t>NEHİR ÇOKOKUKLU</t>
  </si>
  <si>
    <t>AYSU YILDIZ</t>
  </si>
  <si>
    <t>HAZAL ESMA ÜNAL</t>
  </si>
  <si>
    <t>MUHAMMED FATİH ŞİMŞEK</t>
  </si>
  <si>
    <t>SUNA SASA</t>
  </si>
  <si>
    <t>İLKNUR TUNÇ</t>
  </si>
  <si>
    <t>MEHMET ALİ ŞİMŞEK</t>
  </si>
  <si>
    <t>AHMET BAHADIR SAKAR</t>
  </si>
  <si>
    <t>HALİS İBRAHİM BAYBAĞAN</t>
  </si>
  <si>
    <t>ELİF TUANA ÇELEBİ</t>
  </si>
  <si>
    <t>12-C</t>
  </si>
  <si>
    <t>MEHMET CAN ELTAS</t>
  </si>
  <si>
    <t>ZELİHA NİSA AKAN</t>
  </si>
  <si>
    <t>EMRE KÜÇÜKÖZKAN</t>
  </si>
  <si>
    <t>SILA CANPOLAT</t>
  </si>
  <si>
    <t>BURAK CAN ERGİN</t>
  </si>
  <si>
    <t>ZEYNEP SUDE KÖROĞLU</t>
  </si>
  <si>
    <t>MÜJDE NUR SÖYLEMEZ</t>
  </si>
  <si>
    <t>ADEM ASLAN</t>
  </si>
  <si>
    <t>HÜSEYİN İNCE</t>
  </si>
  <si>
    <t>İREM SUDE KARAKAYA</t>
  </si>
  <si>
    <t>HÜSEYİN SENİR</t>
  </si>
  <si>
    <t>AYŞE SANDIKÇI</t>
  </si>
  <si>
    <t>GÜNAY TANBURACI</t>
  </si>
  <si>
    <t>EFE BAŞAR GÖKKAYA</t>
  </si>
  <si>
    <t>HELİN KILIÇ</t>
  </si>
  <si>
    <t>NİSA SU BİÇER</t>
  </si>
  <si>
    <t>MUAMMER EMİN ÇİPLİ</t>
  </si>
  <si>
    <t>BADESU ÖZDEMİR</t>
  </si>
  <si>
    <t>BETÜL İLGİN</t>
  </si>
  <si>
    <t>GÜLSÜN BOZKURT</t>
  </si>
  <si>
    <t>12-D</t>
  </si>
  <si>
    <t>KAMİL KAYA</t>
  </si>
  <si>
    <t>MEHMET ÖZTÜRK</t>
  </si>
  <si>
    <t>LÜTFİ KURU</t>
  </si>
  <si>
    <t>OĞUZHAN BARUT</t>
  </si>
  <si>
    <t>BERAT ÖZ</t>
  </si>
  <si>
    <t>BETÜL ŞAKAR</t>
  </si>
  <si>
    <t>İREM AKBAY</t>
  </si>
  <si>
    <t>BİLAL ÇALIŞIR</t>
  </si>
  <si>
    <t>MUHAMMET CENGİZHAN TOP</t>
  </si>
  <si>
    <t>12-F</t>
  </si>
  <si>
    <t>RAMAZAN TAHA TOPAL</t>
  </si>
  <si>
    <t>ÖZGÜL EBRAR ÖZ</t>
  </si>
  <si>
    <t>ZEHRA NUR KURT</t>
  </si>
  <si>
    <t>KÜBRA İCLAL USLU</t>
  </si>
  <si>
    <t>EFE BAĞCI</t>
  </si>
  <si>
    <t>HASAN KARAKUŞ</t>
  </si>
  <si>
    <t>EFSA FÜSUN DÖNMEZ</t>
  </si>
  <si>
    <t>KADİR HATTAB MUM</t>
  </si>
  <si>
    <t>12-H</t>
  </si>
  <si>
    <t>SÜLEYMAN FINDIKLAR</t>
  </si>
  <si>
    <t>ENES FATİH KARAKURT</t>
  </si>
  <si>
    <t>ELİF ÇAKIN</t>
  </si>
  <si>
    <t>GÜLSÜM NİSA ÖZTÜRK</t>
  </si>
  <si>
    <t>ELVİN BAYRAM</t>
  </si>
  <si>
    <t>ELİF ÖZTÜRK</t>
  </si>
  <si>
    <t>RAHİME ŞENKURT</t>
  </si>
  <si>
    <t>9-A</t>
  </si>
  <si>
    <t>YAĞMUR YARASA</t>
  </si>
  <si>
    <t>ESİN NAZLI MUTLU</t>
  </si>
  <si>
    <t>NAZMİYE AKAY</t>
  </si>
  <si>
    <t>HAVVA TANIMAZ</t>
  </si>
  <si>
    <t>MEVLÜT TALHA KILINÇ</t>
  </si>
  <si>
    <t>EYÜP GÜLLÜ</t>
  </si>
  <si>
    <t>NECATİ ÇAYIR</t>
  </si>
  <si>
    <t>ECRİN SAYAN</t>
  </si>
  <si>
    <t>FAHRİYE SUDE TİFTİK</t>
  </si>
  <si>
    <t>ERVA KUMRU</t>
  </si>
  <si>
    <t>ZEYNEP BURCU AKDOĞAN</t>
  </si>
  <si>
    <t>KÜBRA ATEŞ</t>
  </si>
  <si>
    <t>SUDENAZ ALTIN</t>
  </si>
  <si>
    <t>RAHİME NUR ÖZDEMİR</t>
  </si>
  <si>
    <t>ELİF AZRA YILMAZ</t>
  </si>
  <si>
    <t>ELİF SUDE ÖNEL</t>
  </si>
  <si>
    <t>SÜLEYMAN GÜNDOĞAN</t>
  </si>
  <si>
    <t>AYŞE NAZ TEKELİ</t>
  </si>
  <si>
    <t>AYŞE EBRAR ŞALKACI</t>
  </si>
  <si>
    <t>MUSTAFA AFŞAR</t>
  </si>
  <si>
    <t>İREMNUR SARAÇ</t>
  </si>
  <si>
    <t>HACER ERVA BENLİ</t>
  </si>
  <si>
    <t>RÜVEYDA İPEK</t>
  </si>
  <si>
    <t>HATİCE BEYZA GÖKMEN</t>
  </si>
  <si>
    <t>MEHMET ARDA TOKER</t>
  </si>
  <si>
    <t>EYYÜP DİŞÇİOĞULLARI</t>
  </si>
  <si>
    <t>HACER İKLİL OLKAÇ</t>
  </si>
  <si>
    <t>BEYAZIT KOÇER</t>
  </si>
  <si>
    <t>YAĞMUR BALCI</t>
  </si>
  <si>
    <t>10-A</t>
  </si>
  <si>
    <t>İBRAHİM ETHEM BİÇER</t>
  </si>
  <si>
    <t>ZEHRA GUYUK</t>
  </si>
  <si>
    <t>MEHMET AKİF AKPINAR</t>
  </si>
  <si>
    <t>LORİN ÜVENÇ</t>
  </si>
  <si>
    <t>ARİF CAN İNCEKARA</t>
  </si>
  <si>
    <t>NEZİHA NUR BOYUNSUZ</t>
  </si>
  <si>
    <t>MELİS ESİLA TOBCU</t>
  </si>
  <si>
    <t>HATİCE MELEK ÇORUM</t>
  </si>
  <si>
    <t>YAĞMUR ERBEN</t>
  </si>
  <si>
    <t>MEDİNE YILDIZ</t>
  </si>
  <si>
    <t>MUSTAFA TAŞARMUT</t>
  </si>
  <si>
    <t>OSMAN EREN KILINÇOĞLU</t>
  </si>
  <si>
    <t>HACI ÖMER MERCAN</t>
  </si>
  <si>
    <t>ECRİNNAZ SAĞLAM</t>
  </si>
  <si>
    <t>SUDEN HEDİYE GÜNEŞ</t>
  </si>
  <si>
    <t>HANAN SAYES</t>
  </si>
  <si>
    <t>HEDİYE NUR ÇİÇEK</t>
  </si>
  <si>
    <t>MUHAMMED İHSAN ÖZDEMİR</t>
  </si>
  <si>
    <t>AHMET YANMAZ</t>
  </si>
  <si>
    <t>YILDIZ NİSA PEKSÜRÜCÜ</t>
  </si>
  <si>
    <t>İSMAİL ÇELİKTEN</t>
  </si>
  <si>
    <t>GİZEM PORTAKAL</t>
  </si>
  <si>
    <t>SEVDA AKIN</t>
  </si>
  <si>
    <t>İLKNUR YALÇINKAYA</t>
  </si>
  <si>
    <t>BERAT KURT</t>
  </si>
  <si>
    <t>FERHAN KUTBAY</t>
  </si>
  <si>
    <t>11-A</t>
  </si>
  <si>
    <t>RUKİYE TAŞ</t>
  </si>
  <si>
    <t>FATMAGÜL ARAÇ</t>
  </si>
  <si>
    <t>ABDÜLKADİR CERİT</t>
  </si>
  <si>
    <t>KEVSER KILIÇ</t>
  </si>
  <si>
    <t>ÖMER CAN KOLUKISA</t>
  </si>
  <si>
    <t>MEVLÜT KARAKULAK</t>
  </si>
  <si>
    <t>İREM KUL</t>
  </si>
  <si>
    <t>MEHMET YİĞİT BİLEN</t>
  </si>
  <si>
    <t>AHMET HÜSREV DİKİCİ</t>
  </si>
  <si>
    <t>RAHİME AKSOY</t>
  </si>
  <si>
    <t>ŞERİFE GÜLEÇ</t>
  </si>
  <si>
    <t>TALHA EMİRCAN BİLGİN</t>
  </si>
  <si>
    <t>MUHAMMED EMİN ÖZDEMİR</t>
  </si>
  <si>
    <t>TALHA DURAN ÖZLÜ</t>
  </si>
  <si>
    <t>MUSTAFA EMİN ÇUKURKAVAKLI</t>
  </si>
  <si>
    <t>MUSTAFA ENES CERAN</t>
  </si>
  <si>
    <t>MÜNEVVER SAYDAM</t>
  </si>
  <si>
    <t>HÜSEYİN ESER</t>
  </si>
  <si>
    <t>12-A</t>
  </si>
  <si>
    <t>AHMET NOGAY ÖZKONAKCI</t>
  </si>
  <si>
    <t>AZRA ERİŞ</t>
  </si>
  <si>
    <t>AHMET TİFTİKÇİ</t>
  </si>
  <si>
    <t>SABİT KIRDI</t>
  </si>
  <si>
    <t>PUSAT BATUHAN CEYLAN</t>
  </si>
  <si>
    <t>YUSUF EREN ZAYLAN</t>
  </si>
  <si>
    <t>MAHMUT KAYAK</t>
  </si>
  <si>
    <t>KÜRŞAT SALİH YAVAŞ</t>
  </si>
  <si>
    <t>EMİNE SUDE TAŞCI</t>
  </si>
  <si>
    <t>TUANA YEŞİLBAĞ</t>
  </si>
  <si>
    <t>MEHMET ALİ YILDIZ</t>
  </si>
  <si>
    <t>HARUN TOSUNTAŞ</t>
  </si>
  <si>
    <t>NİSA NUR BALCI</t>
  </si>
  <si>
    <t>SÜMEYYE SÖNMEZIŞIK</t>
  </si>
  <si>
    <t>NECMETTİN UÇAR</t>
  </si>
  <si>
    <t>BUSE BALCI</t>
  </si>
  <si>
    <t>NACİYE ATA</t>
  </si>
  <si>
    <t>YAHYA ÖZGÜR ÇELİK</t>
  </si>
  <si>
    <t>AYŞE BÜYÜKESER</t>
  </si>
  <si>
    <t>BELKIS ŞEYMA KAYA</t>
  </si>
  <si>
    <t>ELİF</t>
  </si>
  <si>
    <t>EVİN</t>
  </si>
  <si>
    <t>ZÜMRA</t>
  </si>
  <si>
    <t>RAMAZAN</t>
  </si>
  <si>
    <t>YASİN</t>
  </si>
  <si>
    <t>MUHAMMET</t>
  </si>
  <si>
    <t>MUHAMMED</t>
  </si>
  <si>
    <t>DİLAN</t>
  </si>
  <si>
    <t>HASAN</t>
  </si>
  <si>
    <t>ALİ</t>
  </si>
  <si>
    <t>NEVİN</t>
  </si>
  <si>
    <t>BUSE</t>
  </si>
  <si>
    <t>ESAT</t>
  </si>
  <si>
    <t>EMİNE</t>
  </si>
  <si>
    <t>NEBAHATGÜL</t>
  </si>
  <si>
    <t>YİĞİT</t>
  </si>
  <si>
    <t>HAFİZE</t>
  </si>
  <si>
    <t>BUKET</t>
  </si>
  <si>
    <t>YUSUF</t>
  </si>
  <si>
    <t>MELTEM</t>
  </si>
  <si>
    <t>ASMİN</t>
  </si>
  <si>
    <t>ESMA</t>
  </si>
  <si>
    <t>NİSA</t>
  </si>
  <si>
    <t>RAZİYE</t>
  </si>
  <si>
    <t>SEVİLA</t>
  </si>
  <si>
    <t>ZEYNEP</t>
  </si>
  <si>
    <t>BEREN</t>
  </si>
  <si>
    <t>HÜSNA</t>
  </si>
  <si>
    <t>MEHMET</t>
  </si>
  <si>
    <t>ABDÜLAZİZ</t>
  </si>
  <si>
    <t>DİLEK</t>
  </si>
  <si>
    <t>MELEK</t>
  </si>
  <si>
    <t>CAN</t>
  </si>
  <si>
    <t>EBRAR</t>
  </si>
  <si>
    <t>MEDİNE</t>
  </si>
  <si>
    <t>MUSTAFA</t>
  </si>
  <si>
    <t>CEMRE</t>
  </si>
  <si>
    <t>ÖZGE</t>
  </si>
  <si>
    <t>EKREM</t>
  </si>
  <si>
    <t>BEYZA</t>
  </si>
  <si>
    <t>GİZEM</t>
  </si>
  <si>
    <t>BATUHAN</t>
  </si>
  <si>
    <t>CENNET</t>
  </si>
  <si>
    <t>BETÜL</t>
  </si>
  <si>
    <t>MELİH</t>
  </si>
  <si>
    <t>RAZİYENUR</t>
  </si>
  <si>
    <t>AZRA</t>
  </si>
  <si>
    <t>EREN</t>
  </si>
  <si>
    <t>YASİR</t>
  </si>
  <si>
    <t>ENES</t>
  </si>
  <si>
    <t>EMİN</t>
  </si>
  <si>
    <t>EMRE</t>
  </si>
  <si>
    <t>MUSA</t>
  </si>
  <si>
    <t>GÖKÇE</t>
  </si>
  <si>
    <t>HEDİYE</t>
  </si>
  <si>
    <t>YAĞMUR</t>
  </si>
  <si>
    <t>HÜSEYİN</t>
  </si>
  <si>
    <t>ASLI</t>
  </si>
  <si>
    <t>YAKAMOZ</t>
  </si>
  <si>
    <t>SUDENAZ</t>
  </si>
  <si>
    <t>FATMA</t>
  </si>
  <si>
    <t>ZEHRA</t>
  </si>
  <si>
    <t>EBVA</t>
  </si>
  <si>
    <t>MERYEM</t>
  </si>
  <si>
    <t>FAHRETTİN</t>
  </si>
  <si>
    <t>İSMET</t>
  </si>
  <si>
    <t>EFE</t>
  </si>
  <si>
    <t>MERT</t>
  </si>
  <si>
    <t>YASEMİN</t>
  </si>
  <si>
    <t>ABDULLAH</t>
  </si>
  <si>
    <t>MERVE</t>
  </si>
  <si>
    <t>ÖMER</t>
  </si>
  <si>
    <t>TALHA</t>
  </si>
  <si>
    <t>NİMET</t>
  </si>
  <si>
    <t>TUĞÇE</t>
  </si>
  <si>
    <t>DEMİRHAN</t>
  </si>
  <si>
    <t>GÜLSİNEM</t>
  </si>
  <si>
    <t>NİDA</t>
  </si>
  <si>
    <t>KEZİBAN</t>
  </si>
  <si>
    <t>RÜMEYSA</t>
  </si>
  <si>
    <t>ESMANUR</t>
  </si>
  <si>
    <t>İLAYDA</t>
  </si>
  <si>
    <t>ZEYNEB</t>
  </si>
  <si>
    <t>AYSEL</t>
  </si>
  <si>
    <t>ECRİN</t>
  </si>
  <si>
    <t>ESER</t>
  </si>
  <si>
    <t>RECEP</t>
  </si>
  <si>
    <t>BERAT</t>
  </si>
  <si>
    <t>YAREN</t>
  </si>
  <si>
    <t>EMİRKAN</t>
  </si>
  <si>
    <t>HACER</t>
  </si>
  <si>
    <t>AYŞENAZ</t>
  </si>
  <si>
    <t>NESLİHAN</t>
  </si>
  <si>
    <t>EMİRHAN</t>
  </si>
  <si>
    <t>NADİRE</t>
  </si>
  <si>
    <t>GÜLBEYAZ</t>
  </si>
  <si>
    <t>İSMAİL</t>
  </si>
  <si>
    <t>NERGİZ</t>
  </si>
  <si>
    <t>HALİME</t>
  </si>
  <si>
    <t>HATİCE</t>
  </si>
  <si>
    <t>RAVZA</t>
  </si>
  <si>
    <t>SEMİH</t>
  </si>
  <si>
    <t>DENİZ</t>
  </si>
  <si>
    <t>BERİL</t>
  </si>
  <si>
    <t>ASİYE</t>
  </si>
  <si>
    <t>ABDULAZİZ</t>
  </si>
  <si>
    <t>MOHAMMAD</t>
  </si>
  <si>
    <t>HALİL</t>
  </si>
  <si>
    <t>İBRAHİM</t>
  </si>
  <si>
    <t>ABDURREZZAK</t>
  </si>
  <si>
    <t>SERHAT</t>
  </si>
  <si>
    <t>FATMANUR</t>
  </si>
  <si>
    <t>ŞENGÜL</t>
  </si>
  <si>
    <t>İKRAM</t>
  </si>
  <si>
    <t>ZAHRA</t>
  </si>
  <si>
    <t>BÜŞRA</t>
  </si>
  <si>
    <t>SAİM</t>
  </si>
  <si>
    <t>ISA</t>
  </si>
  <si>
    <t>AHMET</t>
  </si>
  <si>
    <t>KEVSER</t>
  </si>
  <si>
    <t>BEDRİYE</t>
  </si>
  <si>
    <t>AZİZ</t>
  </si>
  <si>
    <t>HAVVA</t>
  </si>
  <si>
    <t>YAHYA</t>
  </si>
  <si>
    <t>MARYAN</t>
  </si>
  <si>
    <t>EYÜPHAN</t>
  </si>
  <si>
    <t>İKBAL</t>
  </si>
  <si>
    <t>YILDIZ</t>
  </si>
  <si>
    <t>BERAY</t>
  </si>
  <si>
    <t>VAHİT</t>
  </si>
  <si>
    <t>NARİN</t>
  </si>
  <si>
    <t>MÜBERRA</t>
  </si>
  <si>
    <t>ARDA</t>
  </si>
  <si>
    <t>ADEM</t>
  </si>
  <si>
    <t>SERVET</t>
  </si>
  <si>
    <t>ZEYNEPNUR</t>
  </si>
  <si>
    <t>SEVDA</t>
  </si>
  <si>
    <t>NUMAN</t>
  </si>
  <si>
    <t>SAMET</t>
  </si>
  <si>
    <t>HAYRUNNİSA</t>
  </si>
  <si>
    <t>UĞUR</t>
  </si>
  <si>
    <t>BURAK</t>
  </si>
  <si>
    <t>ŞEKÜRE</t>
  </si>
  <si>
    <t>EFSA</t>
  </si>
  <si>
    <t>FURKAN</t>
  </si>
  <si>
    <t>FADİME</t>
  </si>
  <si>
    <t>ALPER</t>
  </si>
  <si>
    <t>ABDÜLRAHMAN</t>
  </si>
  <si>
    <t>EFLİN</t>
  </si>
  <si>
    <t>VESİLE</t>
  </si>
  <si>
    <t>ÖZLEM</t>
  </si>
  <si>
    <t>KEZBAN</t>
  </si>
  <si>
    <t>SELAHATTİN</t>
  </si>
  <si>
    <t>AYŞEGÜL</t>
  </si>
  <si>
    <t>CEYDA</t>
  </si>
  <si>
    <t>ABDURRAHMAN</t>
  </si>
  <si>
    <t>ALİYE</t>
  </si>
  <si>
    <t>İREM</t>
  </si>
  <si>
    <t>HAFİZENUR</t>
  </si>
  <si>
    <t>FATIMA</t>
  </si>
  <si>
    <t>NEHİR</t>
  </si>
  <si>
    <t>ŞAHASER</t>
  </si>
  <si>
    <t>SAFİYE</t>
  </si>
  <si>
    <t>NADİR</t>
  </si>
  <si>
    <t>ŞEVVAL</t>
  </si>
  <si>
    <t>HİLAL</t>
  </si>
  <si>
    <t>ABDÜLKADİR</t>
  </si>
  <si>
    <t>ŞERİFE</t>
  </si>
  <si>
    <t>VELİ</t>
  </si>
  <si>
    <t>MEVLÜT</t>
  </si>
  <si>
    <t>MUAMMER</t>
  </si>
  <si>
    <t>IRMAK</t>
  </si>
  <si>
    <t>BELİNAY</t>
  </si>
  <si>
    <t>MELİKE</t>
  </si>
  <si>
    <t>KÜBRA</t>
  </si>
  <si>
    <t>ERVA</t>
  </si>
  <si>
    <t>SUDE</t>
  </si>
  <si>
    <t>MURAT</t>
  </si>
  <si>
    <t>ŞUHEDA</t>
  </si>
  <si>
    <t>HURİYE</t>
  </si>
  <si>
    <t>MELİSA</t>
  </si>
  <si>
    <t>ŞERİFENUR</t>
  </si>
  <si>
    <t>EBRA</t>
  </si>
  <si>
    <t>BERFİN</t>
  </si>
  <si>
    <t>AYŞE</t>
  </si>
  <si>
    <t>KADER</t>
  </si>
  <si>
    <t>DİLAY</t>
  </si>
  <si>
    <t>RASİM</t>
  </si>
  <si>
    <t>DAMLA</t>
  </si>
  <si>
    <t>ABDÜSSAMET</t>
  </si>
  <si>
    <t>CAFER</t>
  </si>
  <si>
    <t>GÜLSELİ</t>
  </si>
  <si>
    <t>OSMAN</t>
  </si>
  <si>
    <t>EBUL</t>
  </si>
  <si>
    <t>KADİR</t>
  </si>
  <si>
    <t>CEYLİN</t>
  </si>
  <si>
    <t>RAHİME</t>
  </si>
  <si>
    <t>EGEHAN</t>
  </si>
  <si>
    <t>RABİA</t>
  </si>
  <si>
    <t>GÜLER</t>
  </si>
  <si>
    <t>LATİFE</t>
  </si>
  <si>
    <t>NEŞE</t>
  </si>
  <si>
    <t>ECEM</t>
  </si>
  <si>
    <t>EFEKAN</t>
  </si>
  <si>
    <t>AYSU</t>
  </si>
  <si>
    <t>HAZAL</t>
  </si>
  <si>
    <t>SUNA</t>
  </si>
  <si>
    <t>İLKNUR</t>
  </si>
  <si>
    <t>HALİS</t>
  </si>
  <si>
    <t>TUANA</t>
  </si>
  <si>
    <t>ZELİHA</t>
  </si>
  <si>
    <t>SILA</t>
  </si>
  <si>
    <t>MÜJDE</t>
  </si>
  <si>
    <t>GÜNAY</t>
  </si>
  <si>
    <t>HELİN</t>
  </si>
  <si>
    <t>BADESU</t>
  </si>
  <si>
    <t>GÜLSÜN</t>
  </si>
  <si>
    <t>KAMİL</t>
  </si>
  <si>
    <t>LÜTFİ</t>
  </si>
  <si>
    <t>OĞUZHAN</t>
  </si>
  <si>
    <t>BİLAL</t>
  </si>
  <si>
    <t>ÖZGÜL</t>
  </si>
  <si>
    <t>SÜLEYMAN</t>
  </si>
  <si>
    <t>GÜLSÜM</t>
  </si>
  <si>
    <t>ELVİN</t>
  </si>
  <si>
    <t>ESİN</t>
  </si>
  <si>
    <t>NAZMİYE</t>
  </si>
  <si>
    <t>EYÜP</t>
  </si>
  <si>
    <t>NECATİ</t>
  </si>
  <si>
    <t>FAHRİYE</t>
  </si>
  <si>
    <t>İREMNUR</t>
  </si>
  <si>
    <t>RÜVEYDA</t>
  </si>
  <si>
    <t>EYYÜP</t>
  </si>
  <si>
    <t>BEYAZIT</t>
  </si>
  <si>
    <t>LORİN</t>
  </si>
  <si>
    <t>ARİF</t>
  </si>
  <si>
    <t>NEZİHA</t>
  </si>
  <si>
    <t>MELİS</t>
  </si>
  <si>
    <t>HACI</t>
  </si>
  <si>
    <t>ECRİNNAZ</t>
  </si>
  <si>
    <t>SUDEN</t>
  </si>
  <si>
    <t>HANAN</t>
  </si>
  <si>
    <t>FERHAN</t>
  </si>
  <si>
    <t>RUKİYE</t>
  </si>
  <si>
    <t>FATMAGÜL</t>
  </si>
  <si>
    <t>MÜNEVVER</t>
  </si>
  <si>
    <t>SABİT</t>
  </si>
  <si>
    <t>PUSAT</t>
  </si>
  <si>
    <t>MAHMUT</t>
  </si>
  <si>
    <t>KÜRŞAT</t>
  </si>
  <si>
    <t>HARUN</t>
  </si>
  <si>
    <t>SÜMEYYE</t>
  </si>
  <si>
    <t>NECMETTİN</t>
  </si>
  <si>
    <t>NACİYE</t>
  </si>
  <si>
    <t>BELKIS</t>
  </si>
  <si>
    <t xml:space="preserve">AKDAĞ </t>
  </si>
  <si>
    <t xml:space="preserve">DEMİR </t>
  </si>
  <si>
    <t xml:space="preserve">ÖZDENDİNLER </t>
  </si>
  <si>
    <t>EGE DEMİR</t>
  </si>
  <si>
    <t xml:space="preserve">KOZAN </t>
  </si>
  <si>
    <t>SEFA ŞİMŞEK</t>
  </si>
  <si>
    <t>HAMZA ÇETİNKAYA</t>
  </si>
  <si>
    <t xml:space="preserve">KOCA </t>
  </si>
  <si>
    <t>ALİ ŞİMŞEK</t>
  </si>
  <si>
    <t>BUSE GÜNAR</t>
  </si>
  <si>
    <t xml:space="preserve">ÖZ </t>
  </si>
  <si>
    <t xml:space="preserve">DİŞBUDAK </t>
  </si>
  <si>
    <t xml:space="preserve">ÇAKIRCA </t>
  </si>
  <si>
    <t>HAKTAN ASLAN</t>
  </si>
  <si>
    <t xml:space="preserve">GÜLEÇ </t>
  </si>
  <si>
    <t xml:space="preserve">ERDAL </t>
  </si>
  <si>
    <t>BUĞRA KILIÇ</t>
  </si>
  <si>
    <t>NUR KÖROĞLU</t>
  </si>
  <si>
    <t xml:space="preserve">ASLAN </t>
  </si>
  <si>
    <t xml:space="preserve">KEYİK </t>
  </si>
  <si>
    <t>NUR BİRTEK</t>
  </si>
  <si>
    <t>NUR KART</t>
  </si>
  <si>
    <t>NUR GÖKER</t>
  </si>
  <si>
    <t xml:space="preserve">HAMARAT </t>
  </si>
  <si>
    <t>EDA KIRIÇ</t>
  </si>
  <si>
    <t xml:space="preserve">KOYUNCU </t>
  </si>
  <si>
    <t xml:space="preserve">ADIEYİ </t>
  </si>
  <si>
    <t xml:space="preserve">ÇİNİ </t>
  </si>
  <si>
    <t>GÖKÇEN CANDAN</t>
  </si>
  <si>
    <t xml:space="preserve">DİLEK </t>
  </si>
  <si>
    <t xml:space="preserve">CAN </t>
  </si>
  <si>
    <t xml:space="preserve">ÜNLÜ </t>
  </si>
  <si>
    <t>EBRAR BAŞOĞUL</t>
  </si>
  <si>
    <t xml:space="preserve">AYAOKU </t>
  </si>
  <si>
    <t xml:space="preserve">KASAR </t>
  </si>
  <si>
    <t>NİDANUR GÖLCÜ</t>
  </si>
  <si>
    <t xml:space="preserve">KARAKÜÇÜK </t>
  </si>
  <si>
    <t xml:space="preserve">TOPRAK </t>
  </si>
  <si>
    <t>BEYZA AYGÜL</t>
  </si>
  <si>
    <t xml:space="preserve">TEPE </t>
  </si>
  <si>
    <t xml:space="preserve">BÜLBÜL </t>
  </si>
  <si>
    <t xml:space="preserve">BERRAK </t>
  </si>
  <si>
    <t xml:space="preserve">GÖKBAŞ </t>
  </si>
  <si>
    <t xml:space="preserve">ÖZDEMİR </t>
  </si>
  <si>
    <t>YİĞİT İŞYAPAN</t>
  </si>
  <si>
    <t xml:space="preserve">ARPACİ </t>
  </si>
  <si>
    <t xml:space="preserve">ÇEŞMECİ </t>
  </si>
  <si>
    <t xml:space="preserve">ÖZTÜRK </t>
  </si>
  <si>
    <t xml:space="preserve">TEZEL </t>
  </si>
  <si>
    <t>EMİN YUNDEMLİ</t>
  </si>
  <si>
    <t xml:space="preserve">COŞKUN </t>
  </si>
  <si>
    <t>NUR ÖZOĞUL</t>
  </si>
  <si>
    <t xml:space="preserve">SAVICI </t>
  </si>
  <si>
    <t xml:space="preserve">EROĞLU </t>
  </si>
  <si>
    <t xml:space="preserve">ÇAMLI </t>
  </si>
  <si>
    <t>NAZ KALIN</t>
  </si>
  <si>
    <t>YAĞMUR ÇALI</t>
  </si>
  <si>
    <t xml:space="preserve">BOYUNSUZ </t>
  </si>
  <si>
    <t>MUSTAFA YILMAZ</t>
  </si>
  <si>
    <t xml:space="preserve">KARABÜLAK </t>
  </si>
  <si>
    <t xml:space="preserve">DURGUN </t>
  </si>
  <si>
    <t>NUR ÇEÇEN</t>
  </si>
  <si>
    <t xml:space="preserve">ERSELEK </t>
  </si>
  <si>
    <t>CAN BOSDANCI</t>
  </si>
  <si>
    <t>ZEHRA ALKAN</t>
  </si>
  <si>
    <t>NAZ ASLAN</t>
  </si>
  <si>
    <t>SULTAN YÖRÜMEZ</t>
  </si>
  <si>
    <t xml:space="preserve">GÜNGÖR </t>
  </si>
  <si>
    <t xml:space="preserve">FİDANBOY </t>
  </si>
  <si>
    <t xml:space="preserve">TELLİÜNLÜ </t>
  </si>
  <si>
    <t>EFE DOĞAN</t>
  </si>
  <si>
    <t>MERT ÇATLI</t>
  </si>
  <si>
    <t xml:space="preserve">ATICI </t>
  </si>
  <si>
    <t>EFE AKGÜN</t>
  </si>
  <si>
    <t>SENA SARAÇ</t>
  </si>
  <si>
    <t>TALHA UÇAR</t>
  </si>
  <si>
    <t>BULUT ARSLAN</t>
  </si>
  <si>
    <t xml:space="preserve">DEVELİ </t>
  </si>
  <si>
    <t xml:space="preserve">KARAYURT </t>
  </si>
  <si>
    <t xml:space="preserve">BAYRAM </t>
  </si>
  <si>
    <t xml:space="preserve">EKEN </t>
  </si>
  <si>
    <t>NADİYE DEVECİ</t>
  </si>
  <si>
    <t>NİSA TOPBAŞ</t>
  </si>
  <si>
    <t xml:space="preserve">YAŞAR </t>
  </si>
  <si>
    <t xml:space="preserve">BİÇERLİ </t>
  </si>
  <si>
    <t xml:space="preserve">ELMALI </t>
  </si>
  <si>
    <t xml:space="preserve">GÜNEYLİ </t>
  </si>
  <si>
    <t xml:space="preserve">GÜÇLÜ </t>
  </si>
  <si>
    <t xml:space="preserve">ÖZKAN </t>
  </si>
  <si>
    <t xml:space="preserve">ŞAHİN </t>
  </si>
  <si>
    <t>EFE ŞAYAK</t>
  </si>
  <si>
    <t>BERAT İNGİT</t>
  </si>
  <si>
    <t xml:space="preserve">KURTBAY </t>
  </si>
  <si>
    <t>ECE ARKIN</t>
  </si>
  <si>
    <t xml:space="preserve">ÜSTÜNDAĞ </t>
  </si>
  <si>
    <t>REYYAN KORKMAZ</t>
  </si>
  <si>
    <t xml:space="preserve">SARITAŞ </t>
  </si>
  <si>
    <t xml:space="preserve">BAYAM </t>
  </si>
  <si>
    <t xml:space="preserve">TEKELİ </t>
  </si>
  <si>
    <t xml:space="preserve">ÜZÜM </t>
  </si>
  <si>
    <t xml:space="preserve">DOĞAN </t>
  </si>
  <si>
    <t>NİSA YEŞİLOBALIGİL</t>
  </si>
  <si>
    <t xml:space="preserve">YUŞAN </t>
  </si>
  <si>
    <t xml:space="preserve">AYAZ </t>
  </si>
  <si>
    <t xml:space="preserve">ÇALIŞKAN </t>
  </si>
  <si>
    <t>NUR GEZGİNCİ</t>
  </si>
  <si>
    <t>MERVE MUTLU</t>
  </si>
  <si>
    <t>NİSA CANVAR</t>
  </si>
  <si>
    <t xml:space="preserve">IŞIK </t>
  </si>
  <si>
    <t xml:space="preserve">ÖZEN </t>
  </si>
  <si>
    <t>ENES ATABEY</t>
  </si>
  <si>
    <t xml:space="preserve">DENİZ </t>
  </si>
  <si>
    <t xml:space="preserve">KÖKYAR </t>
  </si>
  <si>
    <t>ADA KARABAKAN</t>
  </si>
  <si>
    <t xml:space="preserve">YILDIRIM </t>
  </si>
  <si>
    <t>ELHAC HASAN</t>
  </si>
  <si>
    <t xml:space="preserve">AKER </t>
  </si>
  <si>
    <t>JAMIL TURKMEN</t>
  </si>
  <si>
    <t>İBRAHİM İLGİN</t>
  </si>
  <si>
    <t>EL MUSTAFA</t>
  </si>
  <si>
    <t xml:space="preserve">BAKTEMUR </t>
  </si>
  <si>
    <t>CANSU KANGAL</t>
  </si>
  <si>
    <t>ECRİN TOPTAŞ</t>
  </si>
  <si>
    <t xml:space="preserve">BAĞCI </t>
  </si>
  <si>
    <t>BİLGE TAKMAZ</t>
  </si>
  <si>
    <t xml:space="preserve">DEMİRBACAK </t>
  </si>
  <si>
    <t xml:space="preserve">MIRZAEI </t>
  </si>
  <si>
    <t xml:space="preserve">HAŞİMOĞLU </t>
  </si>
  <si>
    <t xml:space="preserve">YAĞAR </t>
  </si>
  <si>
    <t xml:space="preserve">DEMLEXI </t>
  </si>
  <si>
    <t>BERAT MUTLU</t>
  </si>
  <si>
    <t xml:space="preserve">TAKTAK </t>
  </si>
  <si>
    <t xml:space="preserve">CANBAZ </t>
  </si>
  <si>
    <t xml:space="preserve">KOÇAK </t>
  </si>
  <si>
    <t>CAN ÇOBAN</t>
  </si>
  <si>
    <t xml:space="preserve">CEYLAN </t>
  </si>
  <si>
    <t>NUR BAYRAK</t>
  </si>
  <si>
    <t xml:space="preserve">ERYER </t>
  </si>
  <si>
    <t xml:space="preserve">YALÇIN </t>
  </si>
  <si>
    <t xml:space="preserve">ASLIVAR </t>
  </si>
  <si>
    <t xml:space="preserve">TEMİZ </t>
  </si>
  <si>
    <t xml:space="preserve">KANMAZ </t>
  </si>
  <si>
    <t>MOSTAFA HOSSEİN</t>
  </si>
  <si>
    <t>EMRE KIRKAN</t>
  </si>
  <si>
    <t xml:space="preserve">BAHARŞEN </t>
  </si>
  <si>
    <t xml:space="preserve">ÇELİK </t>
  </si>
  <si>
    <t xml:space="preserve">EKİNCİ </t>
  </si>
  <si>
    <t>NUR YILDIZ</t>
  </si>
  <si>
    <t xml:space="preserve">OLGUN </t>
  </si>
  <si>
    <t xml:space="preserve">ŞEN </t>
  </si>
  <si>
    <t xml:space="preserve">ARIK </t>
  </si>
  <si>
    <t xml:space="preserve">ESKİOBA </t>
  </si>
  <si>
    <t>GÖKÇE ERKOÇ</t>
  </si>
  <si>
    <t xml:space="preserve">ÖZKAYA </t>
  </si>
  <si>
    <t xml:space="preserve">ÜRÜN </t>
  </si>
  <si>
    <t>ŞENEL KOÇAK</t>
  </si>
  <si>
    <t xml:space="preserve">URGUN </t>
  </si>
  <si>
    <t xml:space="preserve">KOÇAKER </t>
  </si>
  <si>
    <t>AHMET KOÇAK</t>
  </si>
  <si>
    <t>SU ABAŞ</t>
  </si>
  <si>
    <t xml:space="preserve">VAROL </t>
  </si>
  <si>
    <t>SAMET KILIÇ</t>
  </si>
  <si>
    <t xml:space="preserve">ERDOĞAN </t>
  </si>
  <si>
    <t xml:space="preserve">AKTAY </t>
  </si>
  <si>
    <t xml:space="preserve">KARAHAN </t>
  </si>
  <si>
    <t xml:space="preserve">HALVACI </t>
  </si>
  <si>
    <t>BURAK KÜÇÜKÇİFCİ</t>
  </si>
  <si>
    <t>FARUK GÜVEN</t>
  </si>
  <si>
    <t xml:space="preserve">YURTTAARSLAN </t>
  </si>
  <si>
    <t>NUR SULUYER</t>
  </si>
  <si>
    <t>ZEYNUBE YALÇIN</t>
  </si>
  <si>
    <t>NUR YAZGAN</t>
  </si>
  <si>
    <t>SAMİ FURKAN</t>
  </si>
  <si>
    <t>EBRAR KAYABAŞI</t>
  </si>
  <si>
    <t>ALEYNA KÖKKAYA</t>
  </si>
  <si>
    <t>SENA GARİP</t>
  </si>
  <si>
    <t>DOĞANAY ÇAKMAK</t>
  </si>
  <si>
    <t xml:space="preserve">CERAN </t>
  </si>
  <si>
    <t xml:space="preserve">ÜNAL </t>
  </si>
  <si>
    <t xml:space="preserve">HÜSEYİN </t>
  </si>
  <si>
    <t xml:space="preserve">ALİOĞLU </t>
  </si>
  <si>
    <t xml:space="preserve">UYAR </t>
  </si>
  <si>
    <t xml:space="preserve">SELVİDAĞ </t>
  </si>
  <si>
    <t xml:space="preserve">FÜNLÜ </t>
  </si>
  <si>
    <t xml:space="preserve">TATOĞLU </t>
  </si>
  <si>
    <t>GÜL KOYUNCU</t>
  </si>
  <si>
    <t xml:space="preserve">EKENEL </t>
  </si>
  <si>
    <t>CAN DEMİR</t>
  </si>
  <si>
    <t>NUR ÇALIŞKAN</t>
  </si>
  <si>
    <t xml:space="preserve">ÇEKİÇ </t>
  </si>
  <si>
    <t xml:space="preserve">DOĞRU </t>
  </si>
  <si>
    <t>BERATCAN SARIGÜL</t>
  </si>
  <si>
    <t xml:space="preserve">SEVİM </t>
  </si>
  <si>
    <t xml:space="preserve">BAŞAK </t>
  </si>
  <si>
    <t>SAMİ ÇİFTCİ</t>
  </si>
  <si>
    <t>SENA KAYNAK</t>
  </si>
  <si>
    <t>DENİZ ÖZKAN</t>
  </si>
  <si>
    <t xml:space="preserve">AKÇAY </t>
  </si>
  <si>
    <t>İREM GÖZLÜ</t>
  </si>
  <si>
    <t xml:space="preserve">ATAY </t>
  </si>
  <si>
    <t>ZEHRA KAPLAN</t>
  </si>
  <si>
    <t xml:space="preserve">BODUROĞLU </t>
  </si>
  <si>
    <t>UFUK ŞAHİN</t>
  </si>
  <si>
    <t xml:space="preserve">CİBELİK </t>
  </si>
  <si>
    <t xml:space="preserve">ELVER </t>
  </si>
  <si>
    <t xml:space="preserve">SANCI </t>
  </si>
  <si>
    <t xml:space="preserve">BEKTAŞ </t>
  </si>
  <si>
    <t xml:space="preserve">ÖZÇELİK </t>
  </si>
  <si>
    <t>RANA NUR</t>
  </si>
  <si>
    <t>RAVZA SEVİNDİK</t>
  </si>
  <si>
    <t xml:space="preserve">ÖZCAN </t>
  </si>
  <si>
    <t xml:space="preserve">PİŞGİN </t>
  </si>
  <si>
    <t xml:space="preserve">BÜYÜKSENÇ </t>
  </si>
  <si>
    <t>ŞERİFE KARPUZ</t>
  </si>
  <si>
    <t xml:space="preserve">ALACA </t>
  </si>
  <si>
    <t xml:space="preserve">ÇIRACI </t>
  </si>
  <si>
    <t>ESAT KEÇECİ</t>
  </si>
  <si>
    <t>CAN ALINAK</t>
  </si>
  <si>
    <t xml:space="preserve">HATIRA </t>
  </si>
  <si>
    <t>EMİRHAN ERİK</t>
  </si>
  <si>
    <t xml:space="preserve">GİRGİN </t>
  </si>
  <si>
    <t xml:space="preserve">ÇOKOKUKLU </t>
  </si>
  <si>
    <t xml:space="preserve">CANDAN </t>
  </si>
  <si>
    <t xml:space="preserve">KARADAĞ </t>
  </si>
  <si>
    <t xml:space="preserve">BOZDAMLI </t>
  </si>
  <si>
    <t xml:space="preserve">UFUK </t>
  </si>
  <si>
    <t xml:space="preserve">GÖKÇE </t>
  </si>
  <si>
    <t>NAZ TAŞÇI</t>
  </si>
  <si>
    <t xml:space="preserve">KARAMAN </t>
  </si>
  <si>
    <t>BETÜL ÖĞRETMEN</t>
  </si>
  <si>
    <t>İCLAL ÖĞRETMEN</t>
  </si>
  <si>
    <t xml:space="preserve">KILIÇ </t>
  </si>
  <si>
    <t xml:space="preserve">SATI </t>
  </si>
  <si>
    <t>NUR SARI</t>
  </si>
  <si>
    <t xml:space="preserve">ALKAN </t>
  </si>
  <si>
    <t xml:space="preserve">ÇAĞLAR </t>
  </si>
  <si>
    <t>GÜL ELKATMIŞ</t>
  </si>
  <si>
    <t xml:space="preserve">BAŞARAN </t>
  </si>
  <si>
    <t xml:space="preserve">YILMAZ </t>
  </si>
  <si>
    <t xml:space="preserve">AKIN </t>
  </si>
  <si>
    <t xml:space="preserve">AL </t>
  </si>
  <si>
    <t xml:space="preserve">ÇETİN </t>
  </si>
  <si>
    <t>SUDE EVELEKLER</t>
  </si>
  <si>
    <t>SALİH ESEN</t>
  </si>
  <si>
    <t xml:space="preserve">GÜMÜŞ </t>
  </si>
  <si>
    <t>DURSUNE TOK</t>
  </si>
  <si>
    <t xml:space="preserve">DURMAZ </t>
  </si>
  <si>
    <t>ARHAN YAKARER</t>
  </si>
  <si>
    <t>SU USLU</t>
  </si>
  <si>
    <t xml:space="preserve">KELEŞ </t>
  </si>
  <si>
    <t xml:space="preserve">MUTLU </t>
  </si>
  <si>
    <t>FATİH YALÇIN</t>
  </si>
  <si>
    <t>CAN KARADAĞ</t>
  </si>
  <si>
    <t>MUHAMMED KOZAN</t>
  </si>
  <si>
    <t>BERKE CAN</t>
  </si>
  <si>
    <t xml:space="preserve">YİĞİT </t>
  </si>
  <si>
    <t>MERT SAHİPOĞLU</t>
  </si>
  <si>
    <t xml:space="preserve">ERCAN </t>
  </si>
  <si>
    <t>VEFA ÜZÜM</t>
  </si>
  <si>
    <t>ERCAN MARTİN</t>
  </si>
  <si>
    <t>HAN EKİZ</t>
  </si>
  <si>
    <t>ENES ELDEK</t>
  </si>
  <si>
    <t xml:space="preserve">BOZKURT </t>
  </si>
  <si>
    <t>EREN SÜMER</t>
  </si>
  <si>
    <t xml:space="preserve">ALTINPINAR </t>
  </si>
  <si>
    <t xml:space="preserve">TOK </t>
  </si>
  <si>
    <t xml:space="preserve">GÜRBÜZ </t>
  </si>
  <si>
    <t xml:space="preserve">AÇA </t>
  </si>
  <si>
    <t xml:space="preserve">CESUR </t>
  </si>
  <si>
    <t>CAN FİDAN</t>
  </si>
  <si>
    <t xml:space="preserve">KABAKCI </t>
  </si>
  <si>
    <t xml:space="preserve">GENÇ </t>
  </si>
  <si>
    <t>NUR SERİN</t>
  </si>
  <si>
    <t xml:space="preserve">OLCAY </t>
  </si>
  <si>
    <t>SUDEM TAŞÇIOĞLU</t>
  </si>
  <si>
    <t>ÜMRAN ERCAN</t>
  </si>
  <si>
    <t>BERAT ÇINAR</t>
  </si>
  <si>
    <t xml:space="preserve">KIRMAZ </t>
  </si>
  <si>
    <t>BEDİRHAN YILMAZ</t>
  </si>
  <si>
    <t>HÜMA KÜÇÜKSÖNMEZ</t>
  </si>
  <si>
    <t xml:space="preserve">SARAÇOĞLU </t>
  </si>
  <si>
    <t xml:space="preserve">YILDIZ </t>
  </si>
  <si>
    <t>ESMA ÜNAL</t>
  </si>
  <si>
    <t>FATİH ŞİMŞEK</t>
  </si>
  <si>
    <t xml:space="preserve">SASA </t>
  </si>
  <si>
    <t xml:space="preserve">TUNÇ </t>
  </si>
  <si>
    <t>BAHADIR SAKAR</t>
  </si>
  <si>
    <t>İBRAHİM BAYBAĞAN</t>
  </si>
  <si>
    <t>TUANA ÇELEBİ</t>
  </si>
  <si>
    <t>CAN ELTAS</t>
  </si>
  <si>
    <t>NİSA AKAN</t>
  </si>
  <si>
    <t xml:space="preserve">KÜÇÜKÖZKAN </t>
  </si>
  <si>
    <t xml:space="preserve">CANPOLAT </t>
  </si>
  <si>
    <t>CAN ERGİN</t>
  </si>
  <si>
    <t>SUDE KÖROĞLU</t>
  </si>
  <si>
    <t>NUR SÖYLEMEZ</t>
  </si>
  <si>
    <t xml:space="preserve">İNCE </t>
  </si>
  <si>
    <t>SUDE KARAKAYA</t>
  </si>
  <si>
    <t xml:space="preserve">SENİR </t>
  </si>
  <si>
    <t xml:space="preserve">SANDIKÇI </t>
  </si>
  <si>
    <t xml:space="preserve">TANBURACI </t>
  </si>
  <si>
    <t>BAŞAR GÖKKAYA</t>
  </si>
  <si>
    <t>SU BİÇER</t>
  </si>
  <si>
    <t>EMİN ÇİPLİ</t>
  </si>
  <si>
    <t xml:space="preserve">İLGİN </t>
  </si>
  <si>
    <t xml:space="preserve">KAYA </t>
  </si>
  <si>
    <t xml:space="preserve">KURU </t>
  </si>
  <si>
    <t xml:space="preserve">BARUT </t>
  </si>
  <si>
    <t xml:space="preserve">ŞAKAR </t>
  </si>
  <si>
    <t xml:space="preserve">AKBAY </t>
  </si>
  <si>
    <t xml:space="preserve">ÇALIŞIR </t>
  </si>
  <si>
    <t>CENGİZHAN TOP</t>
  </si>
  <si>
    <t>TAHA TOPAL</t>
  </si>
  <si>
    <t>EBRAR ÖZ</t>
  </si>
  <si>
    <t>NUR KURT</t>
  </si>
  <si>
    <t>İCLAL USLU</t>
  </si>
  <si>
    <t xml:space="preserve">KARAKUŞ </t>
  </si>
  <si>
    <t>FÜSUN DÖNMEZ</t>
  </si>
  <si>
    <t>HATTAB MUM</t>
  </si>
  <si>
    <t xml:space="preserve">FINDIKLAR </t>
  </si>
  <si>
    <t>FATİH KARAKURT</t>
  </si>
  <si>
    <t xml:space="preserve">ÇAKIN </t>
  </si>
  <si>
    <t>NİSA ÖZTÜRK</t>
  </si>
  <si>
    <t xml:space="preserve">ŞENKURT </t>
  </si>
  <si>
    <t xml:space="preserve">YARASA </t>
  </si>
  <si>
    <t>NAZLI MUTLU</t>
  </si>
  <si>
    <t xml:space="preserve">AKAY </t>
  </si>
  <si>
    <t xml:space="preserve">TANIMAZ </t>
  </si>
  <si>
    <t>TALHA KILINÇ</t>
  </si>
  <si>
    <t xml:space="preserve">GÜLLÜ </t>
  </si>
  <si>
    <t xml:space="preserve">ÇAYIR </t>
  </si>
  <si>
    <t xml:space="preserve">SAYAN </t>
  </si>
  <si>
    <t>SUDE TİFTİK</t>
  </si>
  <si>
    <t xml:space="preserve">KUMRU </t>
  </si>
  <si>
    <t>BURCU AKDOĞAN</t>
  </si>
  <si>
    <t xml:space="preserve">ATEŞ </t>
  </si>
  <si>
    <t xml:space="preserve">ALTIN </t>
  </si>
  <si>
    <t>NUR ÖZDEMİR</t>
  </si>
  <si>
    <t>AZRA YILMAZ</t>
  </si>
  <si>
    <t>SUDE ÖNEL</t>
  </si>
  <si>
    <t xml:space="preserve">GÜNDOĞAN </t>
  </si>
  <si>
    <t>NAZ TEKELİ</t>
  </si>
  <si>
    <t>EBRAR ŞALKACI</t>
  </si>
  <si>
    <t xml:space="preserve">AFŞAR </t>
  </si>
  <si>
    <t xml:space="preserve">SARAÇ </t>
  </si>
  <si>
    <t>ERVA BENLİ</t>
  </si>
  <si>
    <t xml:space="preserve">İPEK </t>
  </si>
  <si>
    <t>BEYZA GÖKMEN</t>
  </si>
  <si>
    <t>ARDA TOKER</t>
  </si>
  <si>
    <t xml:space="preserve">DİŞÇİOĞULLARI </t>
  </si>
  <si>
    <t>İKLİL OLKAÇ</t>
  </si>
  <si>
    <t xml:space="preserve">KOÇER </t>
  </si>
  <si>
    <t xml:space="preserve">BALCI </t>
  </si>
  <si>
    <t>ETHEM BİÇER</t>
  </si>
  <si>
    <t xml:space="preserve">GUYUK </t>
  </si>
  <si>
    <t>AKİF AKPINAR</t>
  </si>
  <si>
    <t xml:space="preserve">ÜVENÇ </t>
  </si>
  <si>
    <t>CAN İNCEKARA</t>
  </si>
  <si>
    <t>NUR BOYUNSUZ</t>
  </si>
  <si>
    <t>ESİLA TOBCU</t>
  </si>
  <si>
    <t>MELEK ÇORUM</t>
  </si>
  <si>
    <t xml:space="preserve">ERBEN </t>
  </si>
  <si>
    <t xml:space="preserve">TAŞARMUT </t>
  </si>
  <si>
    <t>EREN KILINÇOĞLU</t>
  </si>
  <si>
    <t>ÖMER MERCAN</t>
  </si>
  <si>
    <t xml:space="preserve">SAĞLAM </t>
  </si>
  <si>
    <t>HEDİYE GÜNEŞ</t>
  </si>
  <si>
    <t xml:space="preserve">SAYES </t>
  </si>
  <si>
    <t>NUR ÇİÇEK</t>
  </si>
  <si>
    <t>İHSAN ÖZDEMİR</t>
  </si>
  <si>
    <t xml:space="preserve">YANMAZ </t>
  </si>
  <si>
    <t>NİSA PEKSÜRÜCÜ</t>
  </si>
  <si>
    <t xml:space="preserve">ÇELİKTEN </t>
  </si>
  <si>
    <t xml:space="preserve">PORTAKAL </t>
  </si>
  <si>
    <t xml:space="preserve">YALÇINKAYA </t>
  </si>
  <si>
    <t xml:space="preserve">KURT </t>
  </si>
  <si>
    <t xml:space="preserve">KUTBAY </t>
  </si>
  <si>
    <t xml:space="preserve">TAŞ </t>
  </si>
  <si>
    <t xml:space="preserve">ARAÇ </t>
  </si>
  <si>
    <t xml:space="preserve">CERİT </t>
  </si>
  <si>
    <t>CAN KOLUKISA</t>
  </si>
  <si>
    <t xml:space="preserve">KARAKULAK </t>
  </si>
  <si>
    <t xml:space="preserve">KUL </t>
  </si>
  <si>
    <t>YİĞİT BİLEN</t>
  </si>
  <si>
    <t>HÜSREV DİKİCİ</t>
  </si>
  <si>
    <t xml:space="preserve">AKSOY </t>
  </si>
  <si>
    <t>EMİRCAN BİLGİN</t>
  </si>
  <si>
    <t>EMİN ÖZDEMİR</t>
  </si>
  <si>
    <t>DURAN ÖZLÜ</t>
  </si>
  <si>
    <t>EMİN ÇUKURKAVAKLI</t>
  </si>
  <si>
    <t>ENES CERAN</t>
  </si>
  <si>
    <t xml:space="preserve">SAYDAM </t>
  </si>
  <si>
    <t xml:space="preserve">ESER </t>
  </si>
  <si>
    <t>NOGAY ÖZKONAKCI</t>
  </si>
  <si>
    <t xml:space="preserve">ERİŞ </t>
  </si>
  <si>
    <t xml:space="preserve">TİFTİKÇİ </t>
  </si>
  <si>
    <t xml:space="preserve">KIRDI </t>
  </si>
  <si>
    <t>BATUHAN CEYLAN</t>
  </si>
  <si>
    <t>EREN ZAYLAN</t>
  </si>
  <si>
    <t xml:space="preserve">KAYAK </t>
  </si>
  <si>
    <t>SALİH YAVAŞ</t>
  </si>
  <si>
    <t>SUDE TAŞCI</t>
  </si>
  <si>
    <t xml:space="preserve">YEŞİLBAĞ </t>
  </si>
  <si>
    <t>ALİ YILDIZ</t>
  </si>
  <si>
    <t xml:space="preserve">TOSUNTAŞ </t>
  </si>
  <si>
    <t>NUR BALCI</t>
  </si>
  <si>
    <t xml:space="preserve">SÖNMEZIŞIK </t>
  </si>
  <si>
    <t xml:space="preserve">UÇAR </t>
  </si>
  <si>
    <t xml:space="preserve">ATA </t>
  </si>
  <si>
    <t>ÖZGÜR ÇELİK</t>
  </si>
  <si>
    <t xml:space="preserve">BÜYÜKESER </t>
  </si>
  <si>
    <t>ŞEYMA KAYA</t>
  </si>
  <si>
    <t>SINIFI</t>
  </si>
  <si>
    <t>ÖĞ.NO</t>
  </si>
  <si>
    <t>ADI SOYADI</t>
  </si>
  <si>
    <t>Melik ŞİBİL</t>
  </si>
  <si>
    <t xml:space="preserve"> KARATAY TİCARET MESLEKİ VE TEKNİK ANADOLU LİSESİ     </t>
  </si>
  <si>
    <t>EKONOMİ</t>
  </si>
  <si>
    <t>G</t>
  </si>
  <si>
    <t>Arz ve Talebin Piyasa ile ilişkisi</t>
  </si>
  <si>
    <t>Milli Gelir</t>
  </si>
  <si>
    <t>MİLLÎ GELİRİN ÜRETİM FAKTÖRLERİ ARASINDA DAĞILIMI</t>
  </si>
  <si>
    <t>Ülkeler Arası Millî Gelir</t>
  </si>
  <si>
    <t>EKONOMİK BÜYÜMENİN KAYNAKLARI</t>
  </si>
  <si>
    <t>EKONOMİK BÜYÜME VE GELİŞME</t>
  </si>
  <si>
    <t>EKONOMİK BÜYÜME-
YAŞAM STANDARDI İLİŞKİSİ</t>
  </si>
  <si>
    <t>Öğrencilerin çoğunluğu 8  kazanımda başarılı olmuşlardır.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</si>
</sst>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charset val="162"/>
      <scheme val="minor"/>
    </font>
    <font>
      <b/>
      <sz val="11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4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2"/>
      <color rgb="FF00000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Arial"/>
      <family val="2"/>
      <charset val="162"/>
    </font>
    <font>
      <sz val="12"/>
      <color rgb="FF000000"/>
      <name val="Arial"/>
      <family val="2"/>
      <charset val="162"/>
    </font>
    <font>
      <b/>
      <sz val="12"/>
      <color rgb="FF000000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2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22"/>
      <color rgb="FF000000"/>
      <name val="Arial"/>
      <family val="2"/>
      <charset val="162"/>
    </font>
    <font>
      <b/>
      <sz val="18"/>
      <color rgb="FF000000"/>
      <name val="Arial"/>
      <family val="2"/>
      <charset val="162"/>
    </font>
    <font>
      <b/>
      <sz val="14"/>
      <name val="Calibri"/>
      <family val="2"/>
      <charset val="162"/>
      <scheme val="minor"/>
    </font>
    <font>
      <b/>
      <sz val="18"/>
      <color theme="1"/>
      <name val="Arial"/>
      <family val="2"/>
      <charset val="162"/>
    </font>
    <font>
      <sz val="9"/>
      <color indexed="8"/>
      <name val="ARIAL"/>
      <charset val="1"/>
    </font>
    <font>
      <sz val="10"/>
      <color theme="1"/>
      <name val="Calibri"/>
      <family val="2"/>
      <scheme val="minor"/>
    </font>
    <font>
      <sz val="8"/>
      <color indexed="8"/>
      <name val="ARIAL"/>
      <charset val="1"/>
    </font>
    <font>
      <sz val="10"/>
      <color indexed="8"/>
      <name val="ARIAL"/>
      <charset val="1"/>
    </font>
    <font>
      <sz val="10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116">
    <xf numFmtId="0" fontId="0" fillId="0" borderId="0" xfId="0"/>
    <xf numFmtId="0" fontId="12" fillId="4" borderId="1" xfId="0" applyFont="1" applyFill="1" applyBorder="1" applyAlignment="1" applyProtection="1">
      <alignment horizontal="center" vertical="center" wrapText="1" readingOrder="1"/>
    </xf>
    <xf numFmtId="0" fontId="13" fillId="0" borderId="1" xfId="0" applyFont="1" applyFill="1" applyBorder="1" applyAlignment="1" applyProtection="1">
      <alignment horizontal="center" vertical="center" wrapText="1" readingOrder="1"/>
    </xf>
    <xf numFmtId="0" fontId="5" fillId="0" borderId="2" xfId="0" applyFont="1" applyFill="1" applyBorder="1" applyAlignment="1" applyProtection="1">
      <alignment horizontal="center" vertical="center" wrapText="1" readingOrder="1"/>
    </xf>
    <xf numFmtId="0" fontId="11" fillId="6" borderId="1" xfId="0" applyFont="1" applyFill="1" applyBorder="1" applyAlignment="1" applyProtection="1">
      <alignment horizontal="center" vertical="center" wrapText="1" readingOrder="1"/>
    </xf>
    <xf numFmtId="1" fontId="11" fillId="5" borderId="1" xfId="0" applyNumberFormat="1" applyFont="1" applyFill="1" applyBorder="1" applyAlignment="1" applyProtection="1">
      <alignment horizontal="center" vertical="center" wrapText="1" readingOrder="1"/>
    </xf>
    <xf numFmtId="1" fontId="11" fillId="6" borderId="1" xfId="0" applyNumberFormat="1" applyFont="1" applyFill="1" applyBorder="1" applyAlignment="1" applyProtection="1">
      <alignment horizontal="center" vertical="center" wrapText="1" readingOrder="1"/>
    </xf>
    <xf numFmtId="9" fontId="8" fillId="5" borderId="1" xfId="0" applyNumberFormat="1" applyFont="1" applyFill="1" applyBorder="1" applyAlignment="1" applyProtection="1">
      <alignment horizontal="center" vertical="center"/>
    </xf>
    <xf numFmtId="0" fontId="7" fillId="4" borderId="1" xfId="0" applyFont="1" applyFill="1" applyBorder="1" applyProtection="1"/>
    <xf numFmtId="9" fontId="8" fillId="3" borderId="1" xfId="0" applyNumberFormat="1" applyFont="1" applyFill="1" applyBorder="1" applyAlignment="1" applyProtection="1">
      <alignment horizontal="center" vertical="center"/>
    </xf>
    <xf numFmtId="0" fontId="0" fillId="0" borderId="0" xfId="0" applyFill="1" applyProtection="1"/>
    <xf numFmtId="0" fontId="5" fillId="2" borderId="1" xfId="0" applyFont="1" applyFill="1" applyBorder="1" applyAlignment="1" applyProtection="1">
      <alignment horizontal="center" vertical="center" wrapText="1" readingOrder="1"/>
    </xf>
    <xf numFmtId="0" fontId="6" fillId="5" borderId="1" xfId="0" applyFont="1" applyFill="1" applyBorder="1" applyAlignment="1" applyProtection="1">
      <alignment horizontal="center" vertical="center" wrapText="1" readingOrder="1"/>
    </xf>
    <xf numFmtId="0" fontId="0" fillId="2" borderId="0" xfId="0" applyFill="1" applyAlignment="1" applyProtection="1">
      <alignment horizontal="center"/>
    </xf>
    <xf numFmtId="0" fontId="14" fillId="0" borderId="1" xfId="0" applyFont="1" applyBorder="1" applyAlignment="1" applyProtection="1">
      <alignment horizontal="center" vertical="center" readingOrder="1"/>
    </xf>
    <xf numFmtId="0" fontId="6" fillId="0" borderId="1" xfId="0" applyFont="1" applyBorder="1" applyAlignment="1" applyProtection="1">
      <alignment horizontal="center" wrapText="1" readingOrder="1"/>
      <protection locked="0"/>
    </xf>
    <xf numFmtId="0" fontId="5" fillId="0" borderId="0" xfId="0" applyFont="1" applyFill="1" applyBorder="1" applyAlignment="1" applyProtection="1">
      <alignment horizontal="center" vertical="center" wrapText="1" readingOrder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 vertical="center" readingOrder="1"/>
      <protection locked="0"/>
    </xf>
    <xf numFmtId="0" fontId="0" fillId="0" borderId="0" xfId="0" applyProtection="1"/>
    <xf numFmtId="0" fontId="0" fillId="0" borderId="1" xfId="0" applyBorder="1" applyAlignment="1" applyProtection="1">
      <alignment horizontal="center"/>
    </xf>
    <xf numFmtId="0" fontId="0" fillId="0" borderId="1" xfId="0" applyBorder="1" applyProtection="1"/>
    <xf numFmtId="0" fontId="16" fillId="0" borderId="1" xfId="0" applyFont="1" applyBorder="1" applyAlignment="1" applyProtection="1">
      <alignment horizontal="center" textRotation="90" wrapText="1"/>
      <protection locked="0"/>
    </xf>
    <xf numFmtId="0" fontId="0" fillId="0" borderId="0" xfId="0" applyAlignment="1" applyProtection="1">
      <alignment vertical="center"/>
    </xf>
    <xf numFmtId="0" fontId="2" fillId="0" borderId="1" xfId="0" applyFont="1" applyFill="1" applyBorder="1" applyAlignment="1" applyProtection="1">
      <alignment horizontal="center" wrapText="1" readingOrder="1"/>
    </xf>
    <xf numFmtId="0" fontId="0" fillId="4" borderId="1" xfId="0" applyFill="1" applyBorder="1" applyAlignment="1" applyProtection="1">
      <alignment horizontal="center" textRotation="90" wrapText="1"/>
    </xf>
    <xf numFmtId="0" fontId="2" fillId="0" borderId="1" xfId="0" applyFont="1" applyFill="1" applyBorder="1" applyAlignment="1" applyProtection="1">
      <alignment horizontal="left" wrapText="1" readingOrder="1"/>
    </xf>
    <xf numFmtId="0" fontId="9" fillId="4" borderId="1" xfId="0" applyFont="1" applyFill="1" applyBorder="1" applyAlignment="1" applyProtection="1">
      <alignment horizontal="center" vertical="center" readingOrder="1"/>
    </xf>
    <xf numFmtId="0" fontId="1" fillId="0" borderId="1" xfId="0" applyFont="1" applyFill="1" applyBorder="1" applyAlignment="1" applyProtection="1">
      <alignment horizontal="center" wrapText="1" readingOrder="1"/>
    </xf>
    <xf numFmtId="0" fontId="2" fillId="4" borderId="1" xfId="0" applyFont="1" applyFill="1" applyBorder="1" applyAlignment="1" applyProtection="1">
      <alignment horizontal="center" vertical="center" wrapText="1" readingOrder="1"/>
    </xf>
    <xf numFmtId="0" fontId="3" fillId="5" borderId="1" xfId="0" applyFont="1" applyFill="1" applyBorder="1" applyAlignment="1" applyProtection="1">
      <alignment horizontal="center" vertical="center" wrapText="1"/>
    </xf>
    <xf numFmtId="0" fontId="1" fillId="5" borderId="1" xfId="0" applyFont="1" applyFill="1" applyBorder="1" applyAlignment="1" applyProtection="1">
      <alignment horizontal="center" wrapText="1" readingOrder="1"/>
    </xf>
    <xf numFmtId="0" fontId="0" fillId="0" borderId="0" xfId="0" applyAlignment="1" applyProtection="1">
      <alignment horizontal="center"/>
    </xf>
    <xf numFmtId="0" fontId="0" fillId="0" borderId="1" xfId="0" applyBorder="1" applyAlignment="1" applyProtection="1">
      <alignment horizontal="center" vertical="center"/>
    </xf>
    <xf numFmtId="0" fontId="7" fillId="0" borderId="0" xfId="0" applyFont="1" applyAlignment="1" applyProtection="1"/>
    <xf numFmtId="0" fontId="7" fillId="0" borderId="0" xfId="0" applyFont="1" applyProtection="1"/>
    <xf numFmtId="0" fontId="0" fillId="0" borderId="0" xfId="0" applyAlignment="1" applyProtection="1">
      <alignment horizontal="left"/>
    </xf>
    <xf numFmtId="0" fontId="4" fillId="0" borderId="7" xfId="0" applyFont="1" applyBorder="1" applyAlignment="1" applyProtection="1">
      <alignment vertical="center" shrinkToFit="1" readingOrder="1"/>
      <protection locked="0"/>
    </xf>
    <xf numFmtId="1" fontId="11" fillId="0" borderId="1" xfId="0" applyNumberFormat="1" applyFont="1" applyFill="1" applyBorder="1" applyAlignment="1" applyProtection="1">
      <alignment horizontal="center" vertical="center" wrapText="1" readingOrder="1"/>
    </xf>
    <xf numFmtId="0" fontId="0" fillId="0" borderId="11" xfId="0" applyBorder="1" applyProtection="1"/>
    <xf numFmtId="0" fontId="7" fillId="0" borderId="0" xfId="0" applyFont="1" applyBorder="1" applyAlignment="1" applyProtection="1"/>
    <xf numFmtId="0" fontId="0" fillId="0" borderId="6" xfId="0" applyBorder="1" applyProtection="1"/>
    <xf numFmtId="0" fontId="0" fillId="0" borderId="7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8" fillId="0" borderId="11" xfId="0" applyFont="1" applyBorder="1" applyAlignment="1" applyProtection="1"/>
    <xf numFmtId="0" fontId="8" fillId="0" borderId="0" xfId="0" applyFont="1" applyBorder="1" applyAlignment="1" applyProtection="1">
      <alignment horizontal="left"/>
    </xf>
    <xf numFmtId="0" fontId="8" fillId="0" borderId="12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vertical="center" wrapText="1" readingOrder="1"/>
      <protection locked="0"/>
    </xf>
    <xf numFmtId="0" fontId="4" fillId="0" borderId="0" xfId="0" applyFont="1" applyBorder="1" applyAlignment="1" applyProtection="1">
      <alignment horizontal="center" vertical="center" wrapText="1" readingOrder="1"/>
      <protection locked="0"/>
    </xf>
    <xf numFmtId="0" fontId="8" fillId="5" borderId="10" xfId="0" applyFont="1" applyFill="1" applyBorder="1" applyAlignment="1" applyProtection="1"/>
    <xf numFmtId="0" fontId="8" fillId="5" borderId="1" xfId="0" applyFont="1" applyFill="1" applyBorder="1" applyAlignment="1" applyProtection="1">
      <alignment horizontal="center" vertical="center"/>
    </xf>
    <xf numFmtId="0" fontId="11" fillId="7" borderId="1" xfId="0" applyFont="1" applyFill="1" applyBorder="1" applyAlignment="1" applyProtection="1">
      <alignment horizontal="center" vertical="center" wrapText="1" readingOrder="1"/>
    </xf>
    <xf numFmtId="0" fontId="7" fillId="0" borderId="12" xfId="0" applyFont="1" applyBorder="1" applyAlignment="1" applyProtection="1"/>
    <xf numFmtId="9" fontId="19" fillId="3" borderId="0" xfId="0" applyNumberFormat="1" applyFont="1" applyFill="1" applyBorder="1" applyAlignment="1" applyProtection="1">
      <alignment horizontal="center" shrinkToFit="1"/>
    </xf>
    <xf numFmtId="0" fontId="4" fillId="7" borderId="7" xfId="0" applyFont="1" applyFill="1" applyBorder="1" applyAlignment="1" applyProtection="1">
      <alignment vertical="center" shrinkToFit="1" readingOrder="1"/>
    </xf>
    <xf numFmtId="1" fontId="11" fillId="7" borderId="1" xfId="0" applyNumberFormat="1" applyFont="1" applyFill="1" applyBorder="1" applyAlignment="1" applyProtection="1">
      <alignment horizontal="center" vertical="center" wrapText="1" readingOrder="1"/>
    </xf>
    <xf numFmtId="0" fontId="4" fillId="7" borderId="7" xfId="0" applyFont="1" applyFill="1" applyBorder="1" applyAlignment="1" applyProtection="1">
      <alignment horizontal="center" vertical="center" shrinkToFit="1" readingOrder="1"/>
    </xf>
    <xf numFmtId="0" fontId="17" fillId="0" borderId="0" xfId="0" applyFont="1" applyBorder="1" applyAlignment="1" applyProtection="1">
      <alignment horizontal="center" vertical="center" wrapText="1" readingOrder="1"/>
      <protection locked="0"/>
    </xf>
    <xf numFmtId="0" fontId="11" fillId="5" borderId="1" xfId="0" applyFont="1" applyFill="1" applyBorder="1" applyAlignment="1" applyProtection="1">
      <alignment horizontal="center" vertical="center" wrapText="1" readingOrder="1"/>
    </xf>
    <xf numFmtId="0" fontId="7" fillId="0" borderId="0" xfId="0" applyFont="1" applyAlignment="1" applyProtection="1">
      <alignment horizontal="center"/>
    </xf>
    <xf numFmtId="0" fontId="11" fillId="5" borderId="1" xfId="0" applyFont="1" applyFill="1" applyBorder="1" applyAlignment="1" applyProtection="1">
      <alignment horizontal="center" vertical="center" wrapText="1" readingOrder="1"/>
    </xf>
    <xf numFmtId="0" fontId="17" fillId="0" borderId="0" xfId="0" applyFont="1" applyBorder="1" applyAlignment="1" applyProtection="1">
      <alignment horizontal="center" vertical="center" wrapText="1" readingOrder="1"/>
      <protection locked="0"/>
    </xf>
    <xf numFmtId="1" fontId="21" fillId="0" borderId="1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 shrinkToFit="1"/>
      <protection locked="0"/>
    </xf>
    <xf numFmtId="1" fontId="23" fillId="0" borderId="1" xfId="0" applyNumberFormat="1" applyFont="1" applyBorder="1" applyAlignment="1" applyProtection="1">
      <alignment horizontal="center" vertical="center" shrinkToFit="1"/>
      <protection locked="0"/>
    </xf>
    <xf numFmtId="0" fontId="24" fillId="0" borderId="1" xfId="0" applyFont="1" applyBorder="1" applyAlignment="1" applyProtection="1">
      <alignment vertical="center" shrinkToFit="1"/>
      <protection locked="0"/>
    </xf>
    <xf numFmtId="0" fontId="0" fillId="0" borderId="1" xfId="0" applyBorder="1"/>
    <xf numFmtId="0" fontId="0" fillId="0" borderId="1" xfId="0" applyBorder="1" applyAlignment="1">
      <alignment vertical="center"/>
    </xf>
    <xf numFmtId="0" fontId="17" fillId="0" borderId="0" xfId="0" applyFont="1" applyBorder="1" applyAlignment="1" applyProtection="1">
      <alignment horizontal="center" vertical="center" shrinkToFit="1" readingOrder="1"/>
      <protection locked="0"/>
    </xf>
    <xf numFmtId="0" fontId="6" fillId="5" borderId="1" xfId="0" applyFont="1" applyFill="1" applyBorder="1" applyAlignment="1" applyProtection="1">
      <alignment horizontal="center" vertical="center" shrinkToFit="1" readingOrder="1"/>
    </xf>
    <xf numFmtId="0" fontId="0" fillId="0" borderId="1" xfId="0" applyBorder="1" applyAlignment="1" applyProtection="1">
      <alignment horizontal="center" vertical="center" shrinkToFit="1" readingOrder="1"/>
      <protection locked="0"/>
    </xf>
    <xf numFmtId="0" fontId="0" fillId="0" borderId="1" xfId="0" applyBorder="1" applyAlignment="1" applyProtection="1">
      <alignment horizontal="left" vertical="center" shrinkToFit="1" readingOrder="1"/>
      <protection locked="0"/>
    </xf>
    <xf numFmtId="0" fontId="8" fillId="0" borderId="0" xfId="0" applyFont="1" applyBorder="1" applyAlignment="1" applyProtection="1">
      <alignment horizontal="left" shrinkToFit="1" readingOrder="1"/>
    </xf>
    <xf numFmtId="0" fontId="7" fillId="0" borderId="0" xfId="0" applyFont="1" applyBorder="1" applyAlignment="1" applyProtection="1">
      <alignment horizontal="center" vertical="center" shrinkToFit="1" readingOrder="1"/>
    </xf>
    <xf numFmtId="0" fontId="7" fillId="0" borderId="0" xfId="0" applyFont="1" applyBorder="1" applyAlignment="1" applyProtection="1">
      <alignment horizontal="center" vertical="center" shrinkToFit="1" readingOrder="1"/>
      <protection locked="0"/>
    </xf>
    <xf numFmtId="0" fontId="7" fillId="0" borderId="7" xfId="0" applyFont="1" applyBorder="1" applyAlignment="1" applyProtection="1">
      <alignment horizontal="center" vertical="center" shrinkToFit="1" readingOrder="1"/>
      <protection locked="0"/>
    </xf>
    <xf numFmtId="0" fontId="0" fillId="0" borderId="7" xfId="0" applyBorder="1" applyAlignment="1" applyProtection="1">
      <alignment horizontal="center" shrinkToFit="1" readingOrder="1"/>
      <protection locked="0"/>
    </xf>
    <xf numFmtId="0" fontId="7" fillId="0" borderId="0" xfId="0" applyFont="1" applyAlignment="1" applyProtection="1">
      <alignment horizontal="center" vertical="center" shrinkToFit="1" readingOrder="1"/>
      <protection locked="0"/>
    </xf>
    <xf numFmtId="0" fontId="0" fillId="0" borderId="0" xfId="0" applyAlignment="1" applyProtection="1">
      <alignment horizontal="center" shrinkToFit="1" readingOrder="1"/>
      <protection locked="0"/>
    </xf>
    <xf numFmtId="0" fontId="7" fillId="0" borderId="0" xfId="0" applyFont="1" applyAlignment="1" applyProtection="1">
      <alignment horizontal="center" shrinkToFit="1" readingOrder="1"/>
    </xf>
    <xf numFmtId="0" fontId="7" fillId="0" borderId="0" xfId="0" applyFont="1" applyAlignment="1" applyProtection="1">
      <alignment horizontal="center" vertical="center" shrinkToFit="1" readingOrder="1"/>
    </xf>
    <xf numFmtId="0" fontId="0" fillId="0" borderId="0" xfId="0" applyAlignment="1" applyProtection="1">
      <alignment horizontal="left" shrinkToFit="1" readingOrder="1"/>
    </xf>
    <xf numFmtId="0" fontId="25" fillId="0" borderId="1" xfId="0" applyFont="1" applyBorder="1" applyAlignment="1" applyProtection="1">
      <alignment horizontal="center" vertical="center" textRotation="90" wrapText="1"/>
      <protection locked="0"/>
    </xf>
    <xf numFmtId="0" fontId="16" fillId="0" borderId="1" xfId="0" applyFont="1" applyBorder="1" applyAlignment="1" applyProtection="1">
      <alignment horizontal="center" vertical="center" textRotation="90" wrapText="1"/>
      <protection locked="0"/>
    </xf>
    <xf numFmtId="0" fontId="0" fillId="0" borderId="1" xfId="0" applyFont="1" applyBorder="1" applyAlignment="1" applyProtection="1">
      <alignment horizontal="center" vertical="center" textRotation="90" wrapText="1"/>
      <protection locked="0"/>
    </xf>
    <xf numFmtId="0" fontId="18" fillId="0" borderId="0" xfId="0" applyFont="1" applyBorder="1" applyAlignment="1" applyProtection="1">
      <alignment horizontal="center" vertical="center" wrapText="1" readingOrder="1"/>
      <protection locked="0"/>
    </xf>
    <xf numFmtId="0" fontId="17" fillId="0" borderId="0" xfId="0" applyFont="1" applyBorder="1" applyAlignment="1" applyProtection="1">
      <alignment horizontal="center" vertical="center" wrapText="1" readingOrder="1"/>
      <protection locked="0"/>
    </xf>
    <xf numFmtId="0" fontId="4" fillId="5" borderId="1" xfId="0" applyFont="1" applyFill="1" applyBorder="1" applyAlignment="1" applyProtection="1">
      <alignment horizontal="left" vertical="center" shrinkToFit="1" readingOrder="1"/>
      <protection locked="0"/>
    </xf>
    <xf numFmtId="0" fontId="4" fillId="0" borderId="1" xfId="0" applyFont="1" applyBorder="1" applyAlignment="1" applyProtection="1">
      <alignment horizontal="left" vertical="center" wrapText="1" readingOrder="1"/>
      <protection locked="0"/>
    </xf>
    <xf numFmtId="0" fontId="4" fillId="5" borderId="1" xfId="0" applyFont="1" applyFill="1" applyBorder="1" applyAlignment="1" applyProtection="1">
      <alignment horizontal="left" vertical="center" wrapText="1" readingOrder="1"/>
      <protection locked="0"/>
    </xf>
    <xf numFmtId="0" fontId="4" fillId="7" borderId="7" xfId="0" applyFont="1" applyFill="1" applyBorder="1" applyAlignment="1" applyProtection="1">
      <alignment horizontal="center" vertical="center" shrinkToFit="1" readingOrder="1"/>
      <protection locked="0"/>
    </xf>
    <xf numFmtId="0" fontId="17" fillId="7" borderId="7" xfId="0" applyFont="1" applyFill="1" applyBorder="1" applyAlignment="1" applyProtection="1">
      <alignment horizontal="center" vertical="center" shrinkToFit="1" readingOrder="1"/>
      <protection locked="0"/>
    </xf>
    <xf numFmtId="0" fontId="4" fillId="7" borderId="7" xfId="0" applyFont="1" applyFill="1" applyBorder="1" applyAlignment="1" applyProtection="1">
      <alignment horizontal="center" vertical="center" shrinkToFit="1" readingOrder="1"/>
    </xf>
    <xf numFmtId="0" fontId="20" fillId="0" borderId="1" xfId="0" applyFont="1" applyBorder="1" applyAlignment="1" applyProtection="1">
      <alignment horizontal="right" vertical="center" textRotation="90" wrapText="1"/>
    </xf>
    <xf numFmtId="0" fontId="0" fillId="0" borderId="7" xfId="0" applyBorder="1" applyAlignment="1" applyProtection="1">
      <alignment horizontal="center"/>
    </xf>
    <xf numFmtId="0" fontId="10" fillId="0" borderId="3" xfId="0" applyFont="1" applyBorder="1" applyAlignment="1" applyProtection="1">
      <alignment horizontal="right" wrapText="1" readingOrder="1"/>
    </xf>
    <xf numFmtId="0" fontId="10" fillId="0" borderId="4" xfId="0" applyFont="1" applyBorder="1" applyAlignment="1" applyProtection="1">
      <alignment horizontal="right" wrapText="1" readingOrder="1"/>
    </xf>
    <xf numFmtId="0" fontId="10" fillId="0" borderId="2" xfId="0" applyFont="1" applyBorder="1" applyAlignment="1" applyProtection="1">
      <alignment horizontal="right" wrapText="1" readingOrder="1"/>
    </xf>
    <xf numFmtId="0" fontId="11" fillId="5" borderId="1" xfId="0" applyFont="1" applyFill="1" applyBorder="1" applyAlignment="1" applyProtection="1">
      <alignment horizontal="center" vertical="center" wrapText="1" readingOrder="1"/>
    </xf>
    <xf numFmtId="0" fontId="8" fillId="5" borderId="3" xfId="0" applyFont="1" applyFill="1" applyBorder="1" applyAlignment="1" applyProtection="1">
      <alignment horizontal="right" vertical="center"/>
    </xf>
    <xf numFmtId="0" fontId="8" fillId="5" borderId="4" xfId="0" applyFont="1" applyFill="1" applyBorder="1" applyAlignment="1" applyProtection="1">
      <alignment horizontal="right" vertical="center"/>
    </xf>
    <xf numFmtId="0" fontId="8" fillId="5" borderId="2" xfId="0" applyFont="1" applyFill="1" applyBorder="1" applyAlignment="1" applyProtection="1">
      <alignment horizontal="right" vertical="center"/>
    </xf>
    <xf numFmtId="0" fontId="8" fillId="0" borderId="3" xfId="0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left"/>
      <protection locked="0"/>
    </xf>
    <xf numFmtId="0" fontId="7" fillId="0" borderId="12" xfId="0" applyFont="1" applyBorder="1" applyAlignment="1" applyProtection="1">
      <alignment horizontal="left"/>
      <protection locked="0"/>
    </xf>
    <xf numFmtId="0" fontId="8" fillId="5" borderId="8" xfId="0" applyFont="1" applyFill="1" applyBorder="1" applyAlignment="1" applyProtection="1">
      <alignment horizontal="left"/>
    </xf>
    <xf numFmtId="0" fontId="8" fillId="5" borderId="9" xfId="0" applyFont="1" applyFill="1" applyBorder="1" applyAlignment="1" applyProtection="1">
      <alignment horizontal="left"/>
    </xf>
    <xf numFmtId="0" fontId="7" fillId="0" borderId="0" xfId="0" applyFont="1" applyBorder="1" applyAlignment="1" applyProtection="1">
      <alignment horizontal="left" shrinkToFit="1" readingOrder="1"/>
    </xf>
    <xf numFmtId="0" fontId="7" fillId="0" borderId="0" xfId="0" applyFont="1" applyBorder="1" applyAlignment="1" applyProtection="1">
      <alignment horizontal="left"/>
    </xf>
    <xf numFmtId="0" fontId="7" fillId="0" borderId="0" xfId="0" applyFont="1" applyAlignment="1" applyProtection="1">
      <alignment horizontal="center" shrinkToFit="1" readingOrder="1"/>
    </xf>
    <xf numFmtId="0" fontId="7" fillId="0" borderId="0" xfId="0" applyFont="1" applyAlignment="1" applyProtection="1">
      <alignment horizontal="center"/>
    </xf>
    <xf numFmtId="14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126999</xdr:colOff>
      <xdr:row>0</xdr:row>
      <xdr:rowOff>99786</xdr:rowOff>
    </xdr:from>
    <xdr:to>
      <xdr:col>2</xdr:col>
      <xdr:colOff>489857</xdr:colOff>
      <xdr:row>2</xdr:row>
      <xdr:rowOff>237659</xdr:rowOff>
    </xdr:to>
    <xdr:pic>
      <xdr:nvPicPr>
        <xdr:cNvPr id="2" name="Resim 1" descr="1200px-Milli_Eğitim_Bakanlığı_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9" y="99786"/>
          <a:ext cx="1010558" cy="950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598715</xdr:colOff>
      <xdr:row>0</xdr:row>
      <xdr:rowOff>0</xdr:rowOff>
    </xdr:from>
    <xdr:to>
      <xdr:col>18</xdr:col>
      <xdr:colOff>470806</xdr:colOff>
      <xdr:row>2</xdr:row>
      <xdr:rowOff>300620</xdr:rowOff>
    </xdr:to>
    <xdr:pic>
      <xdr:nvPicPr>
        <xdr:cNvPr id="3" name="Resim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115" y="0"/>
          <a:ext cx="1091292" cy="111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I72"/>
  <sheetViews>
    <sheetView tabSelected="1" view="pageBreakPreview" topLeftCell="B7" zoomScaleNormal="100" zoomScaleSheetLayoutView="100" workbookViewId="0">
      <selection activeCell="K5" sqref="K5:M5"/>
    </sheetView>
  </sheetViews>
  <sheetFormatPr defaultColWidth="9.21875" defaultRowHeight="15.6"/>
  <cols>
    <col min="1" max="1" width="9.21875" style="20" hidden="1" customWidth="1"/>
    <col min="2" max="2" width="9.21875" style="20" customWidth="1"/>
    <col min="3" max="3" width="8.44140625" style="81" customWidth="1"/>
    <col min="4" max="4" width="12.77734375" style="82" customWidth="1"/>
    <col min="5" max="5" width="15" style="82" customWidth="1"/>
    <col min="6" max="6" width="8.77734375" style="37" customWidth="1"/>
    <col min="7" max="7" width="8.5546875" style="20" customWidth="1"/>
    <col min="8" max="19" width="8.77734375" style="20" customWidth="1"/>
    <col min="20" max="21" width="8.77734375" style="20" hidden="1" customWidth="1"/>
    <col min="22" max="35" width="9.21875" style="20" hidden="1" customWidth="1"/>
    <col min="36" max="16384" width="9.21875" style="20"/>
  </cols>
  <sheetData>
    <row r="1" spans="1:35" s="24" customFormat="1" ht="32.25" customHeight="1">
      <c r="B1" s="86" t="s">
        <v>1181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</row>
    <row r="2" spans="1:35" s="24" customFormat="1" ht="32.25" customHeight="1">
      <c r="B2" s="87" t="s">
        <v>31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35" s="24" customFormat="1" ht="26.55" customHeight="1">
      <c r="B3" s="58"/>
      <c r="C3" s="69"/>
      <c r="D3" s="69"/>
      <c r="E3" s="69"/>
      <c r="F3" s="58"/>
      <c r="G3" s="58"/>
      <c r="H3" s="58"/>
      <c r="I3" s="58"/>
      <c r="J3" s="58"/>
      <c r="K3" s="58"/>
      <c r="L3" s="58"/>
      <c r="M3" s="58"/>
      <c r="N3" s="58"/>
      <c r="O3" s="62"/>
      <c r="P3" s="62"/>
      <c r="Q3" s="58"/>
      <c r="R3" s="58"/>
      <c r="S3" s="58"/>
    </row>
    <row r="4" spans="1:35" s="24" customFormat="1" ht="21.45" customHeight="1">
      <c r="B4" s="48"/>
      <c r="C4" s="88" t="s">
        <v>25</v>
      </c>
      <c r="D4" s="88"/>
      <c r="E4" s="89" t="s">
        <v>254</v>
      </c>
      <c r="F4" s="89"/>
      <c r="G4" s="89"/>
      <c r="H4" s="89"/>
      <c r="I4" s="48"/>
      <c r="J4" s="49"/>
      <c r="K4" s="90" t="s">
        <v>29</v>
      </c>
      <c r="L4" s="90"/>
      <c r="M4" s="90"/>
      <c r="N4" s="89" t="s">
        <v>32</v>
      </c>
      <c r="O4" s="89"/>
      <c r="P4" s="89"/>
      <c r="Q4" s="89"/>
      <c r="R4" s="89"/>
      <c r="S4" s="49"/>
    </row>
    <row r="5" spans="1:35" s="24" customFormat="1" ht="21.45" customHeight="1">
      <c r="B5" s="48"/>
      <c r="C5" s="88" t="s">
        <v>26</v>
      </c>
      <c r="D5" s="88"/>
      <c r="E5" s="89" t="s">
        <v>1182</v>
      </c>
      <c r="F5" s="89"/>
      <c r="G5" s="89"/>
      <c r="H5" s="89"/>
      <c r="I5" s="48"/>
      <c r="J5" s="49"/>
      <c r="K5" s="90" t="s">
        <v>27</v>
      </c>
      <c r="L5" s="90"/>
      <c r="M5" s="90"/>
      <c r="N5" s="89">
        <v>2</v>
      </c>
      <c r="O5" s="89"/>
      <c r="P5" s="89"/>
      <c r="Q5" s="89"/>
      <c r="R5" s="89"/>
      <c r="S5" s="49"/>
    </row>
    <row r="6" spans="1:35" s="24" customFormat="1" ht="21.45" customHeight="1">
      <c r="B6" s="48"/>
      <c r="C6" s="88" t="s">
        <v>30</v>
      </c>
      <c r="D6" s="88"/>
      <c r="E6" s="89">
        <v>2</v>
      </c>
      <c r="F6" s="89"/>
      <c r="G6" s="89"/>
      <c r="H6" s="89"/>
      <c r="I6" s="48"/>
      <c r="J6" s="49"/>
      <c r="K6" s="90" t="s">
        <v>28</v>
      </c>
      <c r="L6" s="90"/>
      <c r="M6" s="90"/>
      <c r="N6" s="89">
        <v>1</v>
      </c>
      <c r="O6" s="89"/>
      <c r="P6" s="89"/>
      <c r="Q6" s="89"/>
      <c r="R6" s="89"/>
      <c r="S6" s="49"/>
    </row>
    <row r="7" spans="1:35" s="24" customFormat="1" ht="12" customHeight="1">
      <c r="B7" s="92"/>
      <c r="C7" s="92"/>
      <c r="D7" s="55"/>
      <c r="E7" s="91"/>
      <c r="F7" s="91"/>
      <c r="G7" s="91"/>
      <c r="H7" s="57"/>
      <c r="I7" s="91"/>
      <c r="J7" s="91"/>
      <c r="K7" s="91"/>
      <c r="L7" s="91"/>
      <c r="M7" s="93"/>
      <c r="N7" s="93"/>
      <c r="O7" s="93"/>
      <c r="P7" s="93"/>
      <c r="Q7" s="93"/>
      <c r="R7" s="91"/>
      <c r="S7" s="91"/>
      <c r="T7" s="38"/>
    </row>
    <row r="8" spans="1:35" ht="152.55000000000001" customHeight="1">
      <c r="B8" s="94" t="s">
        <v>21</v>
      </c>
      <c r="C8" s="94"/>
      <c r="D8" s="94"/>
      <c r="E8" s="94"/>
      <c r="F8" s="94"/>
      <c r="G8" s="83" t="s">
        <v>1184</v>
      </c>
      <c r="H8" s="83" t="s">
        <v>1185</v>
      </c>
      <c r="I8" s="83" t="s">
        <v>1186</v>
      </c>
      <c r="J8" s="85" t="s">
        <v>1187</v>
      </c>
      <c r="K8" s="85" t="s">
        <v>1187</v>
      </c>
      <c r="L8" s="84" t="s">
        <v>1188</v>
      </c>
      <c r="M8" s="84" t="s">
        <v>1189</v>
      </c>
      <c r="N8" s="83" t="s">
        <v>1190</v>
      </c>
      <c r="O8" s="23"/>
      <c r="P8" s="23"/>
      <c r="Q8" s="23"/>
      <c r="R8" s="23"/>
      <c r="S8" s="25"/>
      <c r="T8" s="26"/>
      <c r="W8" s="95" t="s">
        <v>17</v>
      </c>
      <c r="X8" s="95"/>
      <c r="Y8" s="95"/>
      <c r="Z8" s="95"/>
      <c r="AA8" s="95"/>
      <c r="AB8" s="95"/>
      <c r="AC8" s="95"/>
      <c r="AD8" s="95"/>
      <c r="AE8" s="95"/>
      <c r="AF8" s="95"/>
      <c r="AG8" s="95"/>
    </row>
    <row r="9" spans="1:35" ht="19.5" customHeight="1">
      <c r="B9" s="96" t="s">
        <v>11</v>
      </c>
      <c r="C9" s="97"/>
      <c r="D9" s="97"/>
      <c r="E9" s="97"/>
      <c r="F9" s="98"/>
      <c r="G9" s="14">
        <v>1</v>
      </c>
      <c r="H9" s="14">
        <v>2</v>
      </c>
      <c r="I9" s="14">
        <v>3</v>
      </c>
      <c r="J9" s="14">
        <v>4</v>
      </c>
      <c r="K9" s="14">
        <v>5</v>
      </c>
      <c r="L9" s="14">
        <v>6</v>
      </c>
      <c r="M9" s="14">
        <v>7</v>
      </c>
      <c r="N9" s="14">
        <v>8</v>
      </c>
      <c r="O9" s="14"/>
      <c r="P9" s="14"/>
      <c r="Q9" s="14"/>
      <c r="R9" s="14"/>
      <c r="S9" s="27"/>
      <c r="T9" s="28"/>
      <c r="W9" s="21" t="s">
        <v>18</v>
      </c>
      <c r="X9" s="21">
        <f t="shared" ref="X9:AE9" si="0">G9</f>
        <v>1</v>
      </c>
      <c r="Y9" s="21">
        <f t="shared" si="0"/>
        <v>2</v>
      </c>
      <c r="Z9" s="21">
        <f t="shared" si="0"/>
        <v>3</v>
      </c>
      <c r="AA9" s="21">
        <f t="shared" si="0"/>
        <v>4</v>
      </c>
      <c r="AB9" s="21">
        <f t="shared" si="0"/>
        <v>5</v>
      </c>
      <c r="AC9" s="21">
        <f t="shared" si="0"/>
        <v>6</v>
      </c>
      <c r="AD9" s="21">
        <f t="shared" si="0"/>
        <v>7</v>
      </c>
      <c r="AE9" s="21">
        <f t="shared" si="0"/>
        <v>8</v>
      </c>
      <c r="AF9" s="21">
        <f t="shared" ref="AF9:AG9" si="1">Q9</f>
        <v>0</v>
      </c>
      <c r="AG9" s="21">
        <f t="shared" si="1"/>
        <v>0</v>
      </c>
      <c r="AH9" s="21">
        <v>11</v>
      </c>
      <c r="AI9" s="21">
        <v>12</v>
      </c>
    </row>
    <row r="10" spans="1:35" ht="19.5" customHeight="1">
      <c r="B10" s="96" t="s">
        <v>12</v>
      </c>
      <c r="C10" s="97"/>
      <c r="D10" s="97"/>
      <c r="E10" s="97"/>
      <c r="F10" s="9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27"/>
      <c r="T10" s="28"/>
      <c r="W10" s="21" t="s">
        <v>19</v>
      </c>
      <c r="X10" s="21">
        <f>G11</f>
        <v>20</v>
      </c>
      <c r="Y10" s="21">
        <f>H11</f>
        <v>10</v>
      </c>
      <c r="Z10" s="21">
        <f>I11</f>
        <v>10</v>
      </c>
      <c r="AA10" s="21">
        <f t="shared" ref="AA10:AI10" si="2">J11</f>
        <v>10</v>
      </c>
      <c r="AB10" s="21">
        <f t="shared" si="2"/>
        <v>20</v>
      </c>
      <c r="AC10" s="21">
        <f t="shared" si="2"/>
        <v>10</v>
      </c>
      <c r="AD10" s="21">
        <f t="shared" si="2"/>
        <v>10</v>
      </c>
      <c r="AE10" s="21">
        <f t="shared" si="2"/>
        <v>10</v>
      </c>
      <c r="AF10" s="21">
        <f t="shared" si="2"/>
        <v>0</v>
      </c>
      <c r="AG10" s="21">
        <f t="shared" si="2"/>
        <v>0</v>
      </c>
      <c r="AH10" s="21">
        <f t="shared" si="2"/>
        <v>0</v>
      </c>
      <c r="AI10" s="21">
        <f t="shared" si="2"/>
        <v>0</v>
      </c>
    </row>
    <row r="11" spans="1:35" ht="18.75" customHeight="1">
      <c r="B11" s="96" t="s">
        <v>20</v>
      </c>
      <c r="C11" s="97"/>
      <c r="D11" s="97"/>
      <c r="E11" s="97"/>
      <c r="F11" s="98"/>
      <c r="G11" s="15">
        <v>20</v>
      </c>
      <c r="H11" s="15">
        <v>10</v>
      </c>
      <c r="I11" s="15">
        <v>10</v>
      </c>
      <c r="J11" s="15">
        <v>10</v>
      </c>
      <c r="K11" s="15">
        <v>20</v>
      </c>
      <c r="L11" s="15">
        <v>10</v>
      </c>
      <c r="M11" s="15">
        <v>10</v>
      </c>
      <c r="N11" s="15">
        <v>10</v>
      </c>
      <c r="O11" s="15"/>
      <c r="P11" s="15"/>
      <c r="Q11" s="15"/>
      <c r="R11" s="15"/>
      <c r="S11" s="29">
        <f>SUM(G11:R11)</f>
        <v>100</v>
      </c>
      <c r="T11" s="30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ht="32.549999999999997" customHeight="1">
      <c r="A12" s="20">
        <f>ROW()</f>
        <v>12</v>
      </c>
      <c r="B12" s="31" t="s">
        <v>1</v>
      </c>
      <c r="C12" s="70" t="s">
        <v>7</v>
      </c>
      <c r="D12" s="70" t="s">
        <v>40</v>
      </c>
      <c r="E12" s="70" t="s">
        <v>39</v>
      </c>
      <c r="F12" s="12" t="s">
        <v>13</v>
      </c>
      <c r="G12" s="14">
        <v>1</v>
      </c>
      <c r="H12" s="14">
        <v>2</v>
      </c>
      <c r="I12" s="14">
        <v>3</v>
      </c>
      <c r="J12" s="14">
        <v>4</v>
      </c>
      <c r="K12" s="14">
        <v>5</v>
      </c>
      <c r="L12" s="14">
        <v>6</v>
      </c>
      <c r="M12" s="14">
        <v>7</v>
      </c>
      <c r="N12" s="14">
        <v>8</v>
      </c>
      <c r="O12" s="14"/>
      <c r="P12" s="14"/>
      <c r="Q12" s="14"/>
      <c r="R12" s="14"/>
      <c r="S12" s="32" t="s">
        <v>6</v>
      </c>
      <c r="T12" s="30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ht="17.100000000000001" customHeight="1">
      <c r="A13" s="33" t="str">
        <f t="shared" ref="A13:A46" si="3">ROW()-$A$12&amp;"("&amp;$B$7&amp;")"</f>
        <v>1()</v>
      </c>
      <c r="B13" s="63">
        <v>1</v>
      </c>
      <c r="C13" s="65">
        <v>221</v>
      </c>
      <c r="D13" s="66" t="s">
        <v>669</v>
      </c>
      <c r="E13" s="68" t="s">
        <v>965</v>
      </c>
      <c r="F13" s="17" t="str">
        <f>IF(D13="","","A")</f>
        <v>A</v>
      </c>
      <c r="G13" s="15">
        <v>20</v>
      </c>
      <c r="H13" s="15">
        <v>10</v>
      </c>
      <c r="I13" s="15">
        <v>10</v>
      </c>
      <c r="J13" s="15">
        <v>10</v>
      </c>
      <c r="K13" s="15">
        <v>20</v>
      </c>
      <c r="L13" s="15">
        <v>5</v>
      </c>
      <c r="M13" s="15">
        <v>5</v>
      </c>
      <c r="N13" s="15">
        <v>5</v>
      </c>
      <c r="O13" s="15"/>
      <c r="P13" s="15"/>
      <c r="Q13" s="15"/>
      <c r="R13" s="15"/>
      <c r="S13" s="12">
        <f t="shared" ref="S13:S46" si="4">IF(B13="","",IF(G13="G",0,SUM(G13:R13)))</f>
        <v>85</v>
      </c>
      <c r="T13" s="13">
        <f>IF(S13="","",IF(S13=0,3,IF(S13&lt;50,0,1)))</f>
        <v>1</v>
      </c>
      <c r="X13" s="11">
        <f>IF($B13="","",IF(G13="G",3,IF(G13&lt;($X$10/2),0,1)))</f>
        <v>1</v>
      </c>
      <c r="Y13" s="11">
        <f>IF($B13="","",IF(H13="G",3,IF(H13&lt;($Y$10/2),0,1)))</f>
        <v>1</v>
      </c>
      <c r="Z13" s="11">
        <f>IF($B13="","",IF(I13="G",3,IF(I13&lt;($Z$10/2),0,1)))</f>
        <v>1</v>
      </c>
      <c r="AA13" s="11">
        <f>IF($B13="","",IF(J13="G",3,IF(J13&lt;($AA$10/2),0,1)))</f>
        <v>1</v>
      </c>
      <c r="AB13" s="11">
        <f>IF($B13="","",IF(K13="G",3,IF(K13&lt;($AB$10/2),0,1)))</f>
        <v>1</v>
      </c>
      <c r="AC13" s="11">
        <f>IF($B13="","",IF(L13="G",3,IF(L13&lt;($AC$10/2),0,1)))</f>
        <v>1</v>
      </c>
      <c r="AD13" s="11">
        <f>IF($B13="","",IF(M13="G",3,IF(M13&lt;($AD$10/2),0,1)))</f>
        <v>1</v>
      </c>
      <c r="AE13" s="11">
        <f>IF($B13="","",IF(N13="G",3,IF(N13&lt;($AE$10/2),0,1)))</f>
        <v>1</v>
      </c>
      <c r="AF13" s="11">
        <f>IF($B13="","",IF(Q13="G",3,IF(Q13&lt;($AF$10/2),0,1)))</f>
        <v>1</v>
      </c>
      <c r="AG13" s="11">
        <f>IF($B13="","",IF(R13="G",3,IF(R13&lt;($AG$10/2),0,1)))</f>
        <v>1</v>
      </c>
      <c r="AH13" s="11">
        <f>IF($B13="","",IF(S13="G",3,IF(S13&lt;($AF$10/2),0,1)))</f>
        <v>1</v>
      </c>
      <c r="AI13" s="11">
        <f>IF($B13="","",IF(T13="G",3,IF(T13&lt;($AG$10/2),0,1)))</f>
        <v>1</v>
      </c>
    </row>
    <row r="14" spans="1:35" ht="17.100000000000001" customHeight="1">
      <c r="A14" s="33" t="str">
        <f t="shared" si="3"/>
        <v>2()</v>
      </c>
      <c r="B14" s="63">
        <v>2</v>
      </c>
      <c r="C14" s="65">
        <v>352</v>
      </c>
      <c r="D14" s="66" t="s">
        <v>642</v>
      </c>
      <c r="E14" s="68" t="s">
        <v>966</v>
      </c>
      <c r="F14" s="17" t="str">
        <f t="shared" ref="F14:F27" si="5">IF(D14="","","A")</f>
        <v>A</v>
      </c>
      <c r="G14" s="15">
        <v>20</v>
      </c>
      <c r="H14" s="15">
        <v>10</v>
      </c>
      <c r="I14" s="15">
        <v>10</v>
      </c>
      <c r="J14" s="15">
        <v>10</v>
      </c>
      <c r="K14" s="15">
        <v>20</v>
      </c>
      <c r="L14" s="15">
        <v>5</v>
      </c>
      <c r="M14" s="15">
        <v>5</v>
      </c>
      <c r="N14" s="15">
        <v>5</v>
      </c>
      <c r="O14" s="15"/>
      <c r="P14" s="15"/>
      <c r="Q14" s="15"/>
      <c r="R14" s="15"/>
      <c r="S14" s="12">
        <f t="shared" si="4"/>
        <v>85</v>
      </c>
      <c r="T14" s="13">
        <f t="shared" ref="T14:T46" si="6">IF(S14="","",IF(S14=0,3,IF(S14&lt;50,0,1)))</f>
        <v>1</v>
      </c>
      <c r="X14" s="11">
        <f t="shared" ref="X14:X26" si="7">IF($B14="","",IF(G14="G",3,IF(G14&lt;($X$10/2),0,1)))</f>
        <v>1</v>
      </c>
      <c r="Y14" s="11">
        <f t="shared" ref="Y14:Y26" si="8">IF($B14="","",IF(H14="G",3,IF(H14&lt;($Y$10/2),0,1)))</f>
        <v>1</v>
      </c>
      <c r="Z14" s="11">
        <f t="shared" ref="Z14:Z26" si="9">IF($B14="","",IF(I14="G",3,IF(I14&lt;($Z$10/2),0,1)))</f>
        <v>1</v>
      </c>
      <c r="AA14" s="11">
        <f t="shared" ref="AA14:AA26" si="10">IF($B14="","",IF(J14="G",3,IF(J14&lt;($AA$10/2),0,1)))</f>
        <v>1</v>
      </c>
      <c r="AB14" s="11">
        <f t="shared" ref="AB14:AB26" si="11">IF($B14="","",IF(K14="G",3,IF(K14&lt;($AB$10/2),0,1)))</f>
        <v>1</v>
      </c>
      <c r="AC14" s="11">
        <f t="shared" ref="AC14:AC26" si="12">IF($B14="","",IF(L14="G",3,IF(L14&lt;($AC$10/2),0,1)))</f>
        <v>1</v>
      </c>
      <c r="AD14" s="11">
        <f t="shared" ref="AD14:AD26" si="13">IF($B14="","",IF(M14="G",3,IF(M14&lt;($AD$10/2),0,1)))</f>
        <v>1</v>
      </c>
      <c r="AE14" s="11">
        <f t="shared" ref="AE14:AE26" si="14">IF($B14="","",IF(N14="G",3,IF(N14&lt;($AE$10/2),0,1)))</f>
        <v>1</v>
      </c>
      <c r="AF14" s="11">
        <f t="shared" ref="AF14:AF26" si="15">IF($B14="","",IF(Q14="G",3,IF(Q14&lt;($AF$10/2),0,1)))</f>
        <v>1</v>
      </c>
      <c r="AG14" s="11">
        <f t="shared" ref="AG14:AG26" si="16">IF($B14="","",IF(R14="G",3,IF(R14&lt;($AG$10/2),0,1)))</f>
        <v>1</v>
      </c>
      <c r="AH14" s="11">
        <f t="shared" ref="AH14:AH26" si="17">IF($B14="","",IF(S14="G",3,IF(S14&lt;($AF$10/2),0,1)))</f>
        <v>1</v>
      </c>
      <c r="AI14" s="11">
        <f t="shared" ref="AI14:AI26" si="18">IF($B14="","",IF(T14="G",3,IF(T14&lt;($AG$10/2),0,1)))</f>
        <v>1</v>
      </c>
    </row>
    <row r="15" spans="1:35" ht="17.100000000000001" customHeight="1">
      <c r="A15" s="33" t="str">
        <f t="shared" si="3"/>
        <v>3()</v>
      </c>
      <c r="B15" s="63">
        <v>3</v>
      </c>
      <c r="C15" s="65">
        <v>530</v>
      </c>
      <c r="D15" s="66" t="s">
        <v>581</v>
      </c>
      <c r="E15" s="68" t="s">
        <v>967</v>
      </c>
      <c r="F15" s="17" t="str">
        <f t="shared" si="5"/>
        <v>A</v>
      </c>
      <c r="G15" s="15">
        <v>20</v>
      </c>
      <c r="H15" s="15">
        <v>10</v>
      </c>
      <c r="I15" s="15">
        <v>10</v>
      </c>
      <c r="J15" s="15">
        <v>10</v>
      </c>
      <c r="K15" s="15">
        <v>20</v>
      </c>
      <c r="L15" s="15">
        <v>10</v>
      </c>
      <c r="M15" s="15">
        <v>5</v>
      </c>
      <c r="N15" s="15">
        <v>5</v>
      </c>
      <c r="O15" s="15"/>
      <c r="P15" s="15"/>
      <c r="Q15" s="15"/>
      <c r="R15" s="15"/>
      <c r="S15" s="12">
        <f t="shared" si="4"/>
        <v>90</v>
      </c>
      <c r="T15" s="13">
        <f t="shared" si="6"/>
        <v>1</v>
      </c>
      <c r="X15" s="11">
        <f t="shared" si="7"/>
        <v>1</v>
      </c>
      <c r="Y15" s="11">
        <f t="shared" si="8"/>
        <v>1</v>
      </c>
      <c r="Z15" s="11">
        <f t="shared" si="9"/>
        <v>1</v>
      </c>
      <c r="AA15" s="11">
        <f t="shared" si="10"/>
        <v>1</v>
      </c>
      <c r="AB15" s="11">
        <f t="shared" si="11"/>
        <v>1</v>
      </c>
      <c r="AC15" s="11">
        <f t="shared" si="12"/>
        <v>1</v>
      </c>
      <c r="AD15" s="11">
        <f t="shared" si="13"/>
        <v>1</v>
      </c>
      <c r="AE15" s="11">
        <f t="shared" si="14"/>
        <v>1</v>
      </c>
      <c r="AF15" s="11">
        <f t="shared" si="15"/>
        <v>1</v>
      </c>
      <c r="AG15" s="11">
        <f t="shared" si="16"/>
        <v>1</v>
      </c>
      <c r="AH15" s="11">
        <f t="shared" si="17"/>
        <v>1</v>
      </c>
      <c r="AI15" s="11">
        <f t="shared" si="18"/>
        <v>1</v>
      </c>
    </row>
    <row r="16" spans="1:35" ht="17.100000000000001" customHeight="1">
      <c r="A16" s="33" t="str">
        <f t="shared" si="3"/>
        <v>4()</v>
      </c>
      <c r="B16" s="63">
        <v>4</v>
      </c>
      <c r="C16" s="65">
        <v>1064</v>
      </c>
      <c r="D16" s="66" t="s">
        <v>545</v>
      </c>
      <c r="E16" s="68" t="s">
        <v>968</v>
      </c>
      <c r="F16" s="17" t="str">
        <f t="shared" si="5"/>
        <v>A</v>
      </c>
      <c r="G16" s="15">
        <v>20</v>
      </c>
      <c r="H16" s="15">
        <v>10</v>
      </c>
      <c r="I16" s="15">
        <v>10</v>
      </c>
      <c r="J16" s="15">
        <v>10</v>
      </c>
      <c r="K16" s="15">
        <v>20</v>
      </c>
      <c r="L16" s="15">
        <v>10</v>
      </c>
      <c r="M16" s="15">
        <v>10</v>
      </c>
      <c r="N16" s="15">
        <v>5</v>
      </c>
      <c r="O16" s="15"/>
      <c r="P16" s="15"/>
      <c r="Q16" s="15"/>
      <c r="R16" s="15"/>
      <c r="S16" s="12">
        <f t="shared" si="4"/>
        <v>95</v>
      </c>
      <c r="T16" s="13">
        <f t="shared" si="6"/>
        <v>1</v>
      </c>
      <c r="X16" s="11">
        <f t="shared" si="7"/>
        <v>1</v>
      </c>
      <c r="Y16" s="11">
        <f t="shared" si="8"/>
        <v>1</v>
      </c>
      <c r="Z16" s="11">
        <f t="shared" si="9"/>
        <v>1</v>
      </c>
      <c r="AA16" s="11">
        <f t="shared" si="10"/>
        <v>1</v>
      </c>
      <c r="AB16" s="11">
        <f t="shared" si="11"/>
        <v>1</v>
      </c>
      <c r="AC16" s="11">
        <f t="shared" si="12"/>
        <v>1</v>
      </c>
      <c r="AD16" s="11">
        <f t="shared" si="13"/>
        <v>1</v>
      </c>
      <c r="AE16" s="11">
        <f t="shared" si="14"/>
        <v>1</v>
      </c>
      <c r="AF16" s="11">
        <f t="shared" si="15"/>
        <v>1</v>
      </c>
      <c r="AG16" s="11">
        <f t="shared" si="16"/>
        <v>1</v>
      </c>
      <c r="AH16" s="11">
        <f t="shared" si="17"/>
        <v>1</v>
      </c>
      <c r="AI16" s="11">
        <f t="shared" si="18"/>
        <v>1</v>
      </c>
    </row>
    <row r="17" spans="1:35" ht="17.100000000000001" customHeight="1">
      <c r="A17" s="33" t="str">
        <f t="shared" si="3"/>
        <v>5()</v>
      </c>
      <c r="B17" s="63">
        <v>5</v>
      </c>
      <c r="C17" s="65">
        <v>1754</v>
      </c>
      <c r="D17" s="66" t="s">
        <v>625</v>
      </c>
      <c r="E17" s="68" t="s">
        <v>796</v>
      </c>
      <c r="F17" s="17" t="str">
        <f t="shared" si="5"/>
        <v>A</v>
      </c>
      <c r="G17" s="15">
        <v>20</v>
      </c>
      <c r="H17" s="15">
        <v>5</v>
      </c>
      <c r="I17" s="15">
        <v>10</v>
      </c>
      <c r="J17" s="15">
        <v>10</v>
      </c>
      <c r="K17" s="15">
        <v>20</v>
      </c>
      <c r="L17" s="15">
        <v>5</v>
      </c>
      <c r="M17" s="15">
        <v>5</v>
      </c>
      <c r="N17" s="15">
        <v>0</v>
      </c>
      <c r="O17" s="15"/>
      <c r="P17" s="15"/>
      <c r="Q17" s="15"/>
      <c r="R17" s="15"/>
      <c r="S17" s="12">
        <f t="shared" si="4"/>
        <v>75</v>
      </c>
      <c r="T17" s="13">
        <f t="shared" si="6"/>
        <v>1</v>
      </c>
      <c r="X17" s="11">
        <f t="shared" si="7"/>
        <v>1</v>
      </c>
      <c r="Y17" s="11">
        <f t="shared" si="8"/>
        <v>1</v>
      </c>
      <c r="Z17" s="11">
        <f t="shared" si="9"/>
        <v>1</v>
      </c>
      <c r="AA17" s="11">
        <f t="shared" si="10"/>
        <v>1</v>
      </c>
      <c r="AB17" s="11">
        <f t="shared" si="11"/>
        <v>1</v>
      </c>
      <c r="AC17" s="11">
        <f t="shared" si="12"/>
        <v>1</v>
      </c>
      <c r="AD17" s="11">
        <f t="shared" si="13"/>
        <v>1</v>
      </c>
      <c r="AE17" s="11">
        <f t="shared" si="14"/>
        <v>0</v>
      </c>
      <c r="AF17" s="11">
        <f t="shared" si="15"/>
        <v>1</v>
      </c>
      <c r="AG17" s="11">
        <f t="shared" si="16"/>
        <v>1</v>
      </c>
      <c r="AH17" s="11">
        <f t="shared" si="17"/>
        <v>1</v>
      </c>
      <c r="AI17" s="11">
        <f t="shared" si="18"/>
        <v>1</v>
      </c>
    </row>
    <row r="18" spans="1:35" ht="17.100000000000001" customHeight="1">
      <c r="A18" s="33" t="str">
        <f t="shared" si="3"/>
        <v>6()</v>
      </c>
      <c r="B18" s="63">
        <v>6</v>
      </c>
      <c r="C18" s="65">
        <v>2392</v>
      </c>
      <c r="D18" s="66" t="s">
        <v>670</v>
      </c>
      <c r="E18" s="68" t="s">
        <v>969</v>
      </c>
      <c r="F18" s="17" t="str">
        <f t="shared" si="5"/>
        <v>A</v>
      </c>
      <c r="G18" s="15">
        <v>20</v>
      </c>
      <c r="H18" s="15">
        <v>10</v>
      </c>
      <c r="I18" s="15">
        <v>10</v>
      </c>
      <c r="J18" s="15">
        <v>10</v>
      </c>
      <c r="K18" s="15">
        <v>20</v>
      </c>
      <c r="L18" s="15">
        <v>10</v>
      </c>
      <c r="M18" s="15">
        <v>5</v>
      </c>
      <c r="N18" s="15">
        <v>0</v>
      </c>
      <c r="O18" s="15"/>
      <c r="P18" s="15"/>
      <c r="Q18" s="15"/>
      <c r="R18" s="15"/>
      <c r="S18" s="12">
        <f t="shared" si="4"/>
        <v>85</v>
      </c>
      <c r="T18" s="13">
        <f t="shared" si="6"/>
        <v>1</v>
      </c>
      <c r="X18" s="11">
        <f t="shared" si="7"/>
        <v>1</v>
      </c>
      <c r="Y18" s="11">
        <f t="shared" si="8"/>
        <v>1</v>
      </c>
      <c r="Z18" s="11">
        <f t="shared" si="9"/>
        <v>1</v>
      </c>
      <c r="AA18" s="11">
        <f t="shared" si="10"/>
        <v>1</v>
      </c>
      <c r="AB18" s="11">
        <f t="shared" si="11"/>
        <v>1</v>
      </c>
      <c r="AC18" s="11">
        <f t="shared" si="12"/>
        <v>1</v>
      </c>
      <c r="AD18" s="11">
        <f t="shared" si="13"/>
        <v>1</v>
      </c>
      <c r="AE18" s="11">
        <f t="shared" si="14"/>
        <v>0</v>
      </c>
      <c r="AF18" s="11">
        <f t="shared" si="15"/>
        <v>1</v>
      </c>
      <c r="AG18" s="11">
        <f t="shared" si="16"/>
        <v>1</v>
      </c>
      <c r="AH18" s="11">
        <f t="shared" si="17"/>
        <v>1</v>
      </c>
      <c r="AI18" s="11">
        <f t="shared" si="18"/>
        <v>1</v>
      </c>
    </row>
    <row r="19" spans="1:35" ht="17.100000000000001" customHeight="1">
      <c r="A19" s="33" t="str">
        <f t="shared" si="3"/>
        <v>7()</v>
      </c>
      <c r="B19" s="63">
        <v>7</v>
      </c>
      <c r="C19" s="65">
        <v>2402</v>
      </c>
      <c r="D19" s="66" t="s">
        <v>671</v>
      </c>
      <c r="E19" s="68" t="s">
        <v>970</v>
      </c>
      <c r="F19" s="17" t="str">
        <f t="shared" si="5"/>
        <v>A</v>
      </c>
      <c r="G19" s="15">
        <v>20</v>
      </c>
      <c r="H19" s="15">
        <v>10</v>
      </c>
      <c r="I19" s="15">
        <v>10</v>
      </c>
      <c r="J19" s="15">
        <v>10</v>
      </c>
      <c r="K19" s="15">
        <v>10</v>
      </c>
      <c r="L19" s="15">
        <v>10</v>
      </c>
      <c r="M19" s="15">
        <v>5</v>
      </c>
      <c r="N19" s="15">
        <v>5</v>
      </c>
      <c r="O19" s="15"/>
      <c r="P19" s="15"/>
      <c r="Q19" s="15"/>
      <c r="R19" s="15"/>
      <c r="S19" s="12">
        <f t="shared" si="4"/>
        <v>80</v>
      </c>
      <c r="T19" s="13">
        <f t="shared" si="6"/>
        <v>1</v>
      </c>
      <c r="X19" s="11">
        <f t="shared" si="7"/>
        <v>1</v>
      </c>
      <c r="Y19" s="11">
        <f t="shared" si="8"/>
        <v>1</v>
      </c>
      <c r="Z19" s="11">
        <f t="shared" si="9"/>
        <v>1</v>
      </c>
      <c r="AA19" s="11">
        <f t="shared" si="10"/>
        <v>1</v>
      </c>
      <c r="AB19" s="11">
        <f t="shared" si="11"/>
        <v>1</v>
      </c>
      <c r="AC19" s="11">
        <f t="shared" si="12"/>
        <v>1</v>
      </c>
      <c r="AD19" s="11">
        <f t="shared" si="13"/>
        <v>1</v>
      </c>
      <c r="AE19" s="11">
        <f t="shared" si="14"/>
        <v>1</v>
      </c>
      <c r="AF19" s="11">
        <f t="shared" si="15"/>
        <v>1</v>
      </c>
      <c r="AG19" s="11">
        <f t="shared" si="16"/>
        <v>1</v>
      </c>
      <c r="AH19" s="11">
        <f t="shared" si="17"/>
        <v>1</v>
      </c>
      <c r="AI19" s="11">
        <f t="shared" si="18"/>
        <v>1</v>
      </c>
    </row>
    <row r="20" spans="1:35" ht="17.100000000000001" customHeight="1">
      <c r="A20" s="33" t="str">
        <f t="shared" si="3"/>
        <v>8()</v>
      </c>
      <c r="B20" s="63">
        <v>8</v>
      </c>
      <c r="C20" s="65">
        <v>2417</v>
      </c>
      <c r="D20" s="66" t="s">
        <v>672</v>
      </c>
      <c r="E20" s="68" t="s">
        <v>971</v>
      </c>
      <c r="F20" s="17" t="str">
        <f t="shared" si="5"/>
        <v>A</v>
      </c>
      <c r="G20" s="15">
        <v>20</v>
      </c>
      <c r="H20" s="15">
        <v>10</v>
      </c>
      <c r="I20" s="15">
        <v>10</v>
      </c>
      <c r="J20" s="15">
        <v>10</v>
      </c>
      <c r="K20" s="15">
        <v>20</v>
      </c>
      <c r="L20" s="15">
        <v>10</v>
      </c>
      <c r="M20" s="15">
        <v>10</v>
      </c>
      <c r="N20" s="15">
        <v>10</v>
      </c>
      <c r="O20" s="15"/>
      <c r="P20" s="15"/>
      <c r="Q20" s="15"/>
      <c r="R20" s="15"/>
      <c r="S20" s="12">
        <f t="shared" si="4"/>
        <v>100</v>
      </c>
      <c r="T20" s="13">
        <f t="shared" si="6"/>
        <v>1</v>
      </c>
      <c r="X20" s="11">
        <f t="shared" si="7"/>
        <v>1</v>
      </c>
      <c r="Y20" s="11">
        <f t="shared" si="8"/>
        <v>1</v>
      </c>
      <c r="Z20" s="11">
        <f t="shared" si="9"/>
        <v>1</v>
      </c>
      <c r="AA20" s="11">
        <f t="shared" si="10"/>
        <v>1</v>
      </c>
      <c r="AB20" s="11">
        <f t="shared" si="11"/>
        <v>1</v>
      </c>
      <c r="AC20" s="11">
        <f t="shared" si="12"/>
        <v>1</v>
      </c>
      <c r="AD20" s="11">
        <f t="shared" si="13"/>
        <v>1</v>
      </c>
      <c r="AE20" s="11">
        <f t="shared" si="14"/>
        <v>1</v>
      </c>
      <c r="AF20" s="11">
        <f t="shared" si="15"/>
        <v>1</v>
      </c>
      <c r="AG20" s="11">
        <f t="shared" si="16"/>
        <v>1</v>
      </c>
      <c r="AH20" s="11">
        <f t="shared" si="17"/>
        <v>1</v>
      </c>
      <c r="AI20" s="11">
        <f t="shared" si="18"/>
        <v>1</v>
      </c>
    </row>
    <row r="21" spans="1:35" ht="17.100000000000001" customHeight="1">
      <c r="A21" s="33" t="str">
        <f t="shared" si="3"/>
        <v>9()</v>
      </c>
      <c r="B21" s="63">
        <v>9</v>
      </c>
      <c r="C21" s="65">
        <v>2429</v>
      </c>
      <c r="D21" s="66" t="s">
        <v>673</v>
      </c>
      <c r="E21" s="68" t="s">
        <v>972</v>
      </c>
      <c r="F21" s="17" t="str">
        <f t="shared" si="5"/>
        <v>A</v>
      </c>
      <c r="G21" s="15">
        <v>20</v>
      </c>
      <c r="H21" s="15">
        <v>10</v>
      </c>
      <c r="I21" s="15">
        <v>10</v>
      </c>
      <c r="J21" s="15">
        <v>10</v>
      </c>
      <c r="K21" s="15">
        <v>20</v>
      </c>
      <c r="L21" s="15">
        <v>5</v>
      </c>
      <c r="M21" s="15">
        <v>5</v>
      </c>
      <c r="N21" s="15">
        <v>5</v>
      </c>
      <c r="O21" s="15"/>
      <c r="P21" s="15"/>
      <c r="Q21" s="15"/>
      <c r="R21" s="15"/>
      <c r="S21" s="12">
        <f t="shared" si="4"/>
        <v>85</v>
      </c>
      <c r="T21" s="13">
        <f t="shared" si="6"/>
        <v>1</v>
      </c>
      <c r="X21" s="11">
        <f t="shared" si="7"/>
        <v>1</v>
      </c>
      <c r="Y21" s="11">
        <f t="shared" si="8"/>
        <v>1</v>
      </c>
      <c r="Z21" s="11">
        <f t="shared" si="9"/>
        <v>1</v>
      </c>
      <c r="AA21" s="11">
        <f t="shared" si="10"/>
        <v>1</v>
      </c>
      <c r="AB21" s="11">
        <f t="shared" si="11"/>
        <v>1</v>
      </c>
      <c r="AC21" s="11">
        <f t="shared" si="12"/>
        <v>1</v>
      </c>
      <c r="AD21" s="11">
        <f t="shared" si="13"/>
        <v>1</v>
      </c>
      <c r="AE21" s="11">
        <f t="shared" si="14"/>
        <v>1</v>
      </c>
      <c r="AF21" s="11">
        <f t="shared" si="15"/>
        <v>1</v>
      </c>
      <c r="AG21" s="11">
        <f t="shared" si="16"/>
        <v>1</v>
      </c>
      <c r="AH21" s="11">
        <f t="shared" si="17"/>
        <v>1</v>
      </c>
      <c r="AI21" s="11">
        <f t="shared" si="18"/>
        <v>1</v>
      </c>
    </row>
    <row r="22" spans="1:35" ht="17.100000000000001" customHeight="1">
      <c r="A22" s="33" t="str">
        <f t="shared" si="3"/>
        <v>10()</v>
      </c>
      <c r="B22" s="63">
        <v>10</v>
      </c>
      <c r="C22" s="65">
        <v>2435</v>
      </c>
      <c r="D22" s="66" t="s">
        <v>674</v>
      </c>
      <c r="E22" s="68" t="s">
        <v>973</v>
      </c>
      <c r="F22" s="17" t="str">
        <f t="shared" si="5"/>
        <v>A</v>
      </c>
      <c r="G22" s="15">
        <v>20</v>
      </c>
      <c r="H22" s="15">
        <v>5</v>
      </c>
      <c r="I22" s="15">
        <v>10</v>
      </c>
      <c r="J22" s="15">
        <v>10</v>
      </c>
      <c r="K22" s="15">
        <v>20</v>
      </c>
      <c r="L22" s="15">
        <v>0</v>
      </c>
      <c r="M22" s="15">
        <v>5</v>
      </c>
      <c r="N22" s="15">
        <v>5</v>
      </c>
      <c r="O22" s="15"/>
      <c r="P22" s="15"/>
      <c r="Q22" s="15"/>
      <c r="R22" s="15"/>
      <c r="S22" s="12">
        <f t="shared" si="4"/>
        <v>75</v>
      </c>
      <c r="T22" s="13">
        <f t="shared" si="6"/>
        <v>1</v>
      </c>
      <c r="X22" s="11">
        <f t="shared" si="7"/>
        <v>1</v>
      </c>
      <c r="Y22" s="11">
        <f t="shared" si="8"/>
        <v>1</v>
      </c>
      <c r="Z22" s="11">
        <f t="shared" si="9"/>
        <v>1</v>
      </c>
      <c r="AA22" s="11">
        <f t="shared" si="10"/>
        <v>1</v>
      </c>
      <c r="AB22" s="11">
        <f t="shared" si="11"/>
        <v>1</v>
      </c>
      <c r="AC22" s="11">
        <f t="shared" si="12"/>
        <v>0</v>
      </c>
      <c r="AD22" s="11">
        <f t="shared" si="13"/>
        <v>1</v>
      </c>
      <c r="AE22" s="11">
        <f t="shared" si="14"/>
        <v>1</v>
      </c>
      <c r="AF22" s="11">
        <f t="shared" si="15"/>
        <v>1</v>
      </c>
      <c r="AG22" s="11">
        <f t="shared" si="16"/>
        <v>1</v>
      </c>
      <c r="AH22" s="11">
        <f t="shared" si="17"/>
        <v>1</v>
      </c>
      <c r="AI22" s="11">
        <f t="shared" si="18"/>
        <v>1</v>
      </c>
    </row>
    <row r="23" spans="1:35" ht="17.100000000000001" customHeight="1">
      <c r="A23" s="33" t="str">
        <f t="shared" si="3"/>
        <v>11()</v>
      </c>
      <c r="B23" s="63">
        <v>11</v>
      </c>
      <c r="C23" s="65">
        <v>2504</v>
      </c>
      <c r="D23" s="66" t="s">
        <v>632</v>
      </c>
      <c r="E23" s="68" t="s">
        <v>974</v>
      </c>
      <c r="F23" s="17" t="str">
        <f t="shared" si="5"/>
        <v>A</v>
      </c>
      <c r="G23" s="15">
        <v>20</v>
      </c>
      <c r="H23" s="15">
        <v>10</v>
      </c>
      <c r="I23" s="15">
        <v>10</v>
      </c>
      <c r="J23" s="15">
        <v>10</v>
      </c>
      <c r="K23" s="15">
        <v>20</v>
      </c>
      <c r="L23" s="15">
        <v>5</v>
      </c>
      <c r="M23" s="15">
        <v>5</v>
      </c>
      <c r="N23" s="15">
        <v>5</v>
      </c>
      <c r="O23" s="15"/>
      <c r="P23" s="15"/>
      <c r="Q23" s="15"/>
      <c r="R23" s="15"/>
      <c r="S23" s="12">
        <f t="shared" si="4"/>
        <v>85</v>
      </c>
      <c r="T23" s="13">
        <f t="shared" si="6"/>
        <v>1</v>
      </c>
      <c r="X23" s="11">
        <f t="shared" si="7"/>
        <v>1</v>
      </c>
      <c r="Y23" s="11">
        <f t="shared" si="8"/>
        <v>1</v>
      </c>
      <c r="Z23" s="11">
        <f t="shared" si="9"/>
        <v>1</v>
      </c>
      <c r="AA23" s="11">
        <f t="shared" si="10"/>
        <v>1</v>
      </c>
      <c r="AB23" s="11">
        <f t="shared" si="11"/>
        <v>1</v>
      </c>
      <c r="AC23" s="11">
        <f t="shared" si="12"/>
        <v>1</v>
      </c>
      <c r="AD23" s="11">
        <f t="shared" si="13"/>
        <v>1</v>
      </c>
      <c r="AE23" s="11">
        <f t="shared" si="14"/>
        <v>1</v>
      </c>
      <c r="AF23" s="11">
        <f t="shared" si="15"/>
        <v>1</v>
      </c>
      <c r="AG23" s="11">
        <f t="shared" si="16"/>
        <v>1</v>
      </c>
      <c r="AH23" s="11">
        <f t="shared" si="17"/>
        <v>1</v>
      </c>
      <c r="AI23" s="11">
        <f t="shared" si="18"/>
        <v>1</v>
      </c>
    </row>
    <row r="24" spans="1:35" ht="17.100000000000001" customHeight="1">
      <c r="A24" s="33" t="str">
        <f t="shared" si="3"/>
        <v>12()</v>
      </c>
      <c r="B24" s="63">
        <v>12</v>
      </c>
      <c r="C24" s="65">
        <v>90055</v>
      </c>
      <c r="D24" s="66" t="s">
        <v>625</v>
      </c>
      <c r="E24" s="68" t="s">
        <v>766</v>
      </c>
      <c r="F24" s="17" t="str">
        <f t="shared" si="5"/>
        <v>A</v>
      </c>
      <c r="G24" s="15" t="s">
        <v>1183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2">
        <f t="shared" si="4"/>
        <v>0</v>
      </c>
      <c r="T24" s="13">
        <f t="shared" si="6"/>
        <v>3</v>
      </c>
      <c r="X24" s="11">
        <f t="shared" si="7"/>
        <v>3</v>
      </c>
      <c r="Y24" s="11">
        <f t="shared" si="8"/>
        <v>0</v>
      </c>
      <c r="Z24" s="11">
        <f t="shared" si="9"/>
        <v>0</v>
      </c>
      <c r="AA24" s="11">
        <f t="shared" si="10"/>
        <v>0</v>
      </c>
      <c r="AB24" s="11">
        <f t="shared" si="11"/>
        <v>0</v>
      </c>
      <c r="AC24" s="11">
        <f t="shared" si="12"/>
        <v>0</v>
      </c>
      <c r="AD24" s="11">
        <f t="shared" si="13"/>
        <v>0</v>
      </c>
      <c r="AE24" s="11">
        <f t="shared" si="14"/>
        <v>0</v>
      </c>
      <c r="AF24" s="11">
        <f t="shared" si="15"/>
        <v>1</v>
      </c>
      <c r="AG24" s="11">
        <f t="shared" si="16"/>
        <v>1</v>
      </c>
      <c r="AH24" s="11">
        <f t="shared" si="17"/>
        <v>1</v>
      </c>
      <c r="AI24" s="11">
        <f t="shared" si="18"/>
        <v>1</v>
      </c>
    </row>
    <row r="25" spans="1:35" ht="17.100000000000001" customHeight="1">
      <c r="A25" s="33"/>
      <c r="B25" s="63">
        <v>13</v>
      </c>
      <c r="C25" s="65">
        <v>90056</v>
      </c>
      <c r="D25" s="66" t="s">
        <v>675</v>
      </c>
      <c r="E25" s="68" t="s">
        <v>975</v>
      </c>
      <c r="F25" s="17" t="str">
        <f t="shared" si="5"/>
        <v>A</v>
      </c>
      <c r="G25" s="15" t="s">
        <v>1183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2">
        <f t="shared" si="4"/>
        <v>0</v>
      </c>
      <c r="T25" s="13">
        <f t="shared" si="6"/>
        <v>3</v>
      </c>
      <c r="X25" s="11">
        <f t="shared" si="7"/>
        <v>3</v>
      </c>
      <c r="Y25" s="11">
        <f t="shared" si="8"/>
        <v>0</v>
      </c>
      <c r="Z25" s="11">
        <f t="shared" si="9"/>
        <v>0</v>
      </c>
      <c r="AA25" s="11">
        <f t="shared" si="10"/>
        <v>0</v>
      </c>
      <c r="AB25" s="11">
        <f t="shared" si="11"/>
        <v>0</v>
      </c>
      <c r="AC25" s="11">
        <f t="shared" si="12"/>
        <v>0</v>
      </c>
      <c r="AD25" s="11">
        <f t="shared" si="13"/>
        <v>0</v>
      </c>
      <c r="AE25" s="11">
        <f t="shared" si="14"/>
        <v>0</v>
      </c>
      <c r="AF25" s="11">
        <f t="shared" si="15"/>
        <v>1</v>
      </c>
      <c r="AG25" s="11">
        <f t="shared" si="16"/>
        <v>1</v>
      </c>
      <c r="AH25" s="11">
        <f t="shared" si="17"/>
        <v>1</v>
      </c>
      <c r="AI25" s="11">
        <f t="shared" si="18"/>
        <v>1</v>
      </c>
    </row>
    <row r="26" spans="1:35" ht="17.100000000000001" customHeight="1">
      <c r="A26" s="33"/>
      <c r="B26" s="63">
        <v>14</v>
      </c>
      <c r="C26" s="65">
        <v>90057</v>
      </c>
      <c r="D26" s="66" t="s">
        <v>518</v>
      </c>
      <c r="E26" s="68" t="s">
        <v>779</v>
      </c>
      <c r="F26" s="17" t="str">
        <f t="shared" si="5"/>
        <v>A</v>
      </c>
      <c r="G26" s="15" t="s">
        <v>1183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2">
        <f t="shared" si="4"/>
        <v>0</v>
      </c>
      <c r="T26" s="13">
        <f t="shared" si="6"/>
        <v>3</v>
      </c>
      <c r="X26" s="11">
        <f t="shared" si="7"/>
        <v>3</v>
      </c>
      <c r="Y26" s="11">
        <f t="shared" si="8"/>
        <v>0</v>
      </c>
      <c r="Z26" s="11">
        <f t="shared" si="9"/>
        <v>0</v>
      </c>
      <c r="AA26" s="11">
        <f t="shared" si="10"/>
        <v>0</v>
      </c>
      <c r="AB26" s="11">
        <f t="shared" si="11"/>
        <v>0</v>
      </c>
      <c r="AC26" s="11">
        <f t="shared" si="12"/>
        <v>0</v>
      </c>
      <c r="AD26" s="11">
        <f t="shared" si="13"/>
        <v>0</v>
      </c>
      <c r="AE26" s="11">
        <f t="shared" si="14"/>
        <v>0</v>
      </c>
      <c r="AF26" s="11">
        <f t="shared" si="15"/>
        <v>1</v>
      </c>
      <c r="AG26" s="11">
        <f t="shared" si="16"/>
        <v>1</v>
      </c>
      <c r="AH26" s="11">
        <f t="shared" si="17"/>
        <v>1</v>
      </c>
      <c r="AI26" s="11">
        <f t="shared" si="18"/>
        <v>1</v>
      </c>
    </row>
    <row r="27" spans="1:35" ht="17.100000000000001" customHeight="1">
      <c r="A27" s="33" t="str">
        <f t="shared" si="3"/>
        <v>15()</v>
      </c>
      <c r="B27" s="63">
        <v>15</v>
      </c>
      <c r="C27" s="65">
        <v>90058</v>
      </c>
      <c r="D27" s="66" t="s">
        <v>676</v>
      </c>
      <c r="E27" s="68" t="s">
        <v>976</v>
      </c>
      <c r="F27" s="17" t="str">
        <f t="shared" si="5"/>
        <v>A</v>
      </c>
      <c r="G27" s="15" t="s">
        <v>1183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2">
        <f t="shared" si="4"/>
        <v>0</v>
      </c>
      <c r="T27" s="13">
        <f t="shared" si="6"/>
        <v>3</v>
      </c>
      <c r="X27" s="11">
        <f>IF($B27="","",IF(G27="G",3,IF(G27&lt;($X$10/2),0,1)))</f>
        <v>3</v>
      </c>
      <c r="Y27" s="11">
        <f>IF($B27="","",IF(H27="G",3,IF(H27&lt;($Y$10/2),0,1)))</f>
        <v>0</v>
      </c>
      <c r="Z27" s="11">
        <f>IF($B27="","",IF(I27="G",3,IF(I27&lt;($Z$10/2),0,1)))</f>
        <v>0</v>
      </c>
      <c r="AA27" s="11">
        <f>IF($B27="","",IF(J27="G",3,IF(J27&lt;($AA$10/2),0,1)))</f>
        <v>0</v>
      </c>
      <c r="AB27" s="11">
        <f>IF($B27="","",IF(K27="G",3,IF(K27&lt;($AB$10/2),0,1)))</f>
        <v>0</v>
      </c>
      <c r="AC27" s="11">
        <f>IF($B27="","",IF(L27="G",3,IF(L27&lt;($AC$10/2),0,1)))</f>
        <v>0</v>
      </c>
      <c r="AD27" s="11">
        <f>IF($B27="","",IF(M27="G",3,IF(M27&lt;($AD$10/2),0,1)))</f>
        <v>0</v>
      </c>
      <c r="AE27" s="11">
        <f>IF($B27="","",IF(N27="G",3,IF(N27&lt;($AE$10/2),0,1)))</f>
        <v>0</v>
      </c>
      <c r="AF27" s="11">
        <f>IF($B27="","",IF(Q27="G",3,IF(Q27&lt;($AF$10/2),0,1)))</f>
        <v>1</v>
      </c>
      <c r="AG27" s="11">
        <f>IF($B27="","",IF(R27="G",3,IF(R27&lt;($AG$10/2),0,1)))</f>
        <v>1</v>
      </c>
      <c r="AH27" s="11">
        <f>IF($B27="","",IF(S27="G",3,IF(S27&lt;($AF$10/2),0,1)))</f>
        <v>1</v>
      </c>
      <c r="AI27" s="11">
        <f>IF($B27="","",IF(T27="G",3,IF(T27&lt;($AG$10/2),0,1)))</f>
        <v>1</v>
      </c>
    </row>
    <row r="28" spans="1:35" ht="17.100000000000001" customHeight="1">
      <c r="A28" s="33"/>
      <c r="B28" s="63">
        <v>16</v>
      </c>
      <c r="C28" s="65">
        <v>90059</v>
      </c>
      <c r="D28" s="66" t="s">
        <v>566</v>
      </c>
      <c r="E28" s="68" t="s">
        <v>977</v>
      </c>
      <c r="F28" s="17" t="str">
        <f t="shared" ref="F28:F46" si="19">IF(D28="","","A")</f>
        <v>A</v>
      </c>
      <c r="G28" s="15" t="s">
        <v>1183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2">
        <f t="shared" si="4"/>
        <v>0</v>
      </c>
      <c r="T28" s="13">
        <f t="shared" si="6"/>
        <v>3</v>
      </c>
      <c r="X28" s="11">
        <f t="shared" ref="X28:X31" si="20">IF($B28="","",IF(G28="G",3,IF(G28&lt;($X$10/2),0,1)))</f>
        <v>3</v>
      </c>
      <c r="Y28" s="11">
        <f t="shared" ref="Y28:Y31" si="21">IF($B28="","",IF(H28="G",3,IF(H28&lt;($Y$10/2),0,1)))</f>
        <v>0</v>
      </c>
      <c r="Z28" s="11">
        <f t="shared" ref="Z28:Z31" si="22">IF($B28="","",IF(I28="G",3,IF(I28&lt;($Z$10/2),0,1)))</f>
        <v>0</v>
      </c>
      <c r="AA28" s="11">
        <f t="shared" ref="AA28:AA31" si="23">IF($B28="","",IF(J28="G",3,IF(J28&lt;($AA$10/2),0,1)))</f>
        <v>0</v>
      </c>
      <c r="AB28" s="11">
        <f t="shared" ref="AB28:AB31" si="24">IF($B28="","",IF(K28="G",3,IF(K28&lt;($AB$10/2),0,1)))</f>
        <v>0</v>
      </c>
      <c r="AC28" s="11">
        <f t="shared" ref="AC28:AC31" si="25">IF($B28="","",IF(L28="G",3,IF(L28&lt;($AC$10/2),0,1)))</f>
        <v>0</v>
      </c>
      <c r="AD28" s="11">
        <f t="shared" ref="AD28:AD31" si="26">IF($B28="","",IF(M28="G",3,IF(M28&lt;($AD$10/2),0,1)))</f>
        <v>0</v>
      </c>
      <c r="AE28" s="11">
        <f t="shared" ref="AE28:AE31" si="27">IF($B28="","",IF(N28="G",3,IF(N28&lt;($AE$10/2),0,1)))</f>
        <v>0</v>
      </c>
      <c r="AF28" s="11">
        <f t="shared" ref="AF28:AF31" si="28">IF($B28="","",IF(Q28="G",3,IF(Q28&lt;($AF$10/2),0,1)))</f>
        <v>1</v>
      </c>
      <c r="AG28" s="11">
        <f t="shared" ref="AG28:AG31" si="29">IF($B28="","",IF(R28="G",3,IF(R28&lt;($AG$10/2),0,1)))</f>
        <v>1</v>
      </c>
      <c r="AH28" s="11">
        <f t="shared" ref="AH28:AH31" si="30">IF($B28="","",IF(S28="G",3,IF(S28&lt;($AF$10/2),0,1)))</f>
        <v>1</v>
      </c>
      <c r="AI28" s="11">
        <f t="shared" ref="AI28:AI31" si="31">IF($B28="","",IF(T28="G",3,IF(T28&lt;($AG$10/2),0,1)))</f>
        <v>1</v>
      </c>
    </row>
    <row r="29" spans="1:35" ht="17.100000000000001" customHeight="1">
      <c r="A29" s="33"/>
      <c r="B29" s="34" t="str">
        <f t="shared" ref="B29:B46" si="32">IF(D29="","",B28+1)</f>
        <v/>
      </c>
      <c r="C29" s="71"/>
      <c r="D29" s="72"/>
      <c r="E29" s="72"/>
      <c r="F29" s="17" t="str">
        <f t="shared" si="19"/>
        <v/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2" t="str">
        <f t="shared" si="4"/>
        <v/>
      </c>
      <c r="T29" s="13" t="str">
        <f t="shared" si="6"/>
        <v/>
      </c>
      <c r="X29" s="11" t="str">
        <f t="shared" si="20"/>
        <v/>
      </c>
      <c r="Y29" s="11" t="str">
        <f t="shared" si="21"/>
        <v/>
      </c>
      <c r="Z29" s="11" t="str">
        <f t="shared" si="22"/>
        <v/>
      </c>
      <c r="AA29" s="11" t="str">
        <f t="shared" si="23"/>
        <v/>
      </c>
      <c r="AB29" s="11" t="str">
        <f t="shared" si="24"/>
        <v/>
      </c>
      <c r="AC29" s="11" t="str">
        <f t="shared" si="25"/>
        <v/>
      </c>
      <c r="AD29" s="11" t="str">
        <f t="shared" si="26"/>
        <v/>
      </c>
      <c r="AE29" s="11" t="str">
        <f t="shared" si="27"/>
        <v/>
      </c>
      <c r="AF29" s="11" t="str">
        <f t="shared" si="28"/>
        <v/>
      </c>
      <c r="AG29" s="11" t="str">
        <f t="shared" si="29"/>
        <v/>
      </c>
      <c r="AH29" s="11" t="str">
        <f t="shared" si="30"/>
        <v/>
      </c>
      <c r="AI29" s="11" t="str">
        <f t="shared" si="31"/>
        <v/>
      </c>
    </row>
    <row r="30" spans="1:35" ht="17.100000000000001" customHeight="1">
      <c r="A30" s="33"/>
      <c r="B30" s="34" t="str">
        <f t="shared" si="32"/>
        <v/>
      </c>
      <c r="C30" s="71"/>
      <c r="D30" s="72"/>
      <c r="E30" s="72"/>
      <c r="F30" s="17" t="str">
        <f t="shared" si="19"/>
        <v/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2" t="str">
        <f t="shared" si="4"/>
        <v/>
      </c>
      <c r="T30" s="13" t="str">
        <f t="shared" si="6"/>
        <v/>
      </c>
      <c r="X30" s="11" t="str">
        <f t="shared" si="20"/>
        <v/>
      </c>
      <c r="Y30" s="11" t="str">
        <f t="shared" si="21"/>
        <v/>
      </c>
      <c r="Z30" s="11" t="str">
        <f t="shared" si="22"/>
        <v/>
      </c>
      <c r="AA30" s="11" t="str">
        <f t="shared" si="23"/>
        <v/>
      </c>
      <c r="AB30" s="11" t="str">
        <f t="shared" si="24"/>
        <v/>
      </c>
      <c r="AC30" s="11" t="str">
        <f t="shared" si="25"/>
        <v/>
      </c>
      <c r="AD30" s="11" t="str">
        <f t="shared" si="26"/>
        <v/>
      </c>
      <c r="AE30" s="11" t="str">
        <f t="shared" si="27"/>
        <v/>
      </c>
      <c r="AF30" s="11" t="str">
        <f t="shared" si="28"/>
        <v/>
      </c>
      <c r="AG30" s="11" t="str">
        <f t="shared" si="29"/>
        <v/>
      </c>
      <c r="AH30" s="11" t="str">
        <f t="shared" si="30"/>
        <v/>
      </c>
      <c r="AI30" s="11" t="str">
        <f t="shared" si="31"/>
        <v/>
      </c>
    </row>
    <row r="31" spans="1:35" ht="17.100000000000001" customHeight="1">
      <c r="A31" s="33" t="str">
        <f t="shared" si="3"/>
        <v>19()</v>
      </c>
      <c r="B31" s="34" t="str">
        <f t="shared" si="32"/>
        <v/>
      </c>
      <c r="C31" s="71"/>
      <c r="D31" s="72"/>
      <c r="E31" s="72"/>
      <c r="F31" s="17" t="str">
        <f t="shared" si="19"/>
        <v/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2" t="str">
        <f t="shared" si="4"/>
        <v/>
      </c>
      <c r="T31" s="13" t="str">
        <f t="shared" si="6"/>
        <v/>
      </c>
      <c r="X31" s="11" t="str">
        <f t="shared" si="20"/>
        <v/>
      </c>
      <c r="Y31" s="11" t="str">
        <f t="shared" si="21"/>
        <v/>
      </c>
      <c r="Z31" s="11" t="str">
        <f t="shared" si="22"/>
        <v/>
      </c>
      <c r="AA31" s="11" t="str">
        <f t="shared" si="23"/>
        <v/>
      </c>
      <c r="AB31" s="11" t="str">
        <f t="shared" si="24"/>
        <v/>
      </c>
      <c r="AC31" s="11" t="str">
        <f t="shared" si="25"/>
        <v/>
      </c>
      <c r="AD31" s="11" t="str">
        <f t="shared" si="26"/>
        <v/>
      </c>
      <c r="AE31" s="11" t="str">
        <f t="shared" si="27"/>
        <v/>
      </c>
      <c r="AF31" s="11" t="str">
        <f t="shared" si="28"/>
        <v/>
      </c>
      <c r="AG31" s="11" t="str">
        <f t="shared" si="29"/>
        <v/>
      </c>
      <c r="AH31" s="11" t="str">
        <f t="shared" si="30"/>
        <v/>
      </c>
      <c r="AI31" s="11" t="str">
        <f t="shared" si="31"/>
        <v/>
      </c>
    </row>
    <row r="32" spans="1:35" ht="17.100000000000001" customHeight="1">
      <c r="A32" s="33" t="str">
        <f t="shared" si="3"/>
        <v>20()</v>
      </c>
      <c r="B32" s="34" t="str">
        <f t="shared" si="32"/>
        <v/>
      </c>
      <c r="C32" s="71"/>
      <c r="D32" s="72"/>
      <c r="E32" s="72"/>
      <c r="F32" s="17" t="str">
        <f t="shared" si="19"/>
        <v/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2" t="str">
        <f t="shared" si="4"/>
        <v/>
      </c>
      <c r="T32" s="13" t="str">
        <f t="shared" si="6"/>
        <v/>
      </c>
      <c r="X32" s="11" t="str">
        <f>IF($B32="","",IF(G32="G",3,IF(G32&lt;($X$10/2),0,1)))</f>
        <v/>
      </c>
      <c r="Y32" s="11" t="str">
        <f>IF($B32="","",IF(H32="G",3,IF(H32&lt;($Y$10/2),0,1)))</f>
        <v/>
      </c>
      <c r="Z32" s="11" t="str">
        <f>IF($B32="","",IF(I32="G",3,IF(I32&lt;($Z$10/2),0,1)))</f>
        <v/>
      </c>
      <c r="AA32" s="11" t="str">
        <f>IF($B32="","",IF(J32="G",3,IF(J32&lt;($AA$10/2),0,1)))</f>
        <v/>
      </c>
      <c r="AB32" s="11" t="str">
        <f>IF($B32="","",IF(K32="G",3,IF(K32&lt;($AB$10/2),0,1)))</f>
        <v/>
      </c>
      <c r="AC32" s="11" t="str">
        <f>IF($B32="","",IF(L32="G",3,IF(L32&lt;($AC$10/2),0,1)))</f>
        <v/>
      </c>
      <c r="AD32" s="11" t="str">
        <f>IF($B32="","",IF(M32="G",3,IF(M32&lt;($AD$10/2),0,1)))</f>
        <v/>
      </c>
      <c r="AE32" s="11" t="str">
        <f>IF($B32="","",IF(N32="G",3,IF(N32&lt;($AE$10/2),0,1)))</f>
        <v/>
      </c>
      <c r="AF32" s="11" t="str">
        <f>IF($B32="","",IF(Q32="G",3,IF(Q32&lt;($AF$10/2),0,1)))</f>
        <v/>
      </c>
      <c r="AG32" s="11" t="str">
        <f>IF($B32="","",IF(R32="G",3,IF(R32&lt;($AG$10/2),0,1)))</f>
        <v/>
      </c>
      <c r="AH32" s="11" t="str">
        <f>IF($B32="","",IF(S32="G",3,IF(S32&lt;($AF$10/2),0,1)))</f>
        <v/>
      </c>
      <c r="AI32" s="11" t="str">
        <f>IF($B32="","",IF(T32="G",3,IF(T32&lt;($AG$10/2),0,1)))</f>
        <v/>
      </c>
    </row>
    <row r="33" spans="1:35" ht="17.100000000000001" customHeight="1">
      <c r="A33" s="33" t="str">
        <f t="shared" si="3"/>
        <v>21()</v>
      </c>
      <c r="B33" s="34" t="str">
        <f t="shared" si="32"/>
        <v/>
      </c>
      <c r="C33" s="71"/>
      <c r="D33" s="72"/>
      <c r="E33" s="72"/>
      <c r="F33" s="17" t="str">
        <f t="shared" si="19"/>
        <v/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2" t="str">
        <f t="shared" si="4"/>
        <v/>
      </c>
      <c r="T33" s="13" t="str">
        <f t="shared" si="6"/>
        <v/>
      </c>
      <c r="X33" s="11" t="str">
        <f t="shared" ref="X33:X38" si="33">IF($B33="","",IF(G33="G",3,IF(G33&lt;($X$10/2),0,1)))</f>
        <v/>
      </c>
      <c r="Y33" s="11" t="str">
        <f t="shared" ref="Y33:Y38" si="34">IF($B33="","",IF(H33="G",3,IF(H33&lt;($Y$10/2),0,1)))</f>
        <v/>
      </c>
      <c r="Z33" s="11" t="str">
        <f t="shared" ref="Z33:Z38" si="35">IF($B33="","",IF(I33="G",3,IF(I33&lt;($Z$10/2),0,1)))</f>
        <v/>
      </c>
      <c r="AA33" s="11" t="str">
        <f t="shared" ref="AA33:AA38" si="36">IF($B33="","",IF(J33="G",3,IF(J33&lt;($AA$10/2),0,1)))</f>
        <v/>
      </c>
      <c r="AB33" s="11" t="str">
        <f t="shared" ref="AB33:AB38" si="37">IF($B33="","",IF(K33="G",3,IF(K33&lt;($AB$10/2),0,1)))</f>
        <v/>
      </c>
      <c r="AC33" s="11" t="str">
        <f t="shared" ref="AC33:AC38" si="38">IF($B33="","",IF(L33="G",3,IF(L33&lt;($AC$10/2),0,1)))</f>
        <v/>
      </c>
      <c r="AD33" s="11" t="str">
        <f t="shared" ref="AD33:AD38" si="39">IF($B33="","",IF(M33="G",3,IF(M33&lt;($AD$10/2),0,1)))</f>
        <v/>
      </c>
      <c r="AE33" s="11" t="str">
        <f t="shared" ref="AE33:AE38" si="40">IF($B33="","",IF(N33="G",3,IF(N33&lt;($AE$10/2),0,1)))</f>
        <v/>
      </c>
      <c r="AF33" s="11" t="str">
        <f t="shared" ref="AF33:AF38" si="41">IF($B33="","",IF(Q33="G",3,IF(Q33&lt;($AF$10/2),0,1)))</f>
        <v/>
      </c>
      <c r="AG33" s="11" t="str">
        <f t="shared" ref="AG33:AG38" si="42">IF($B33="","",IF(R33="G",3,IF(R33&lt;($AG$10/2),0,1)))</f>
        <v/>
      </c>
      <c r="AH33" s="11" t="str">
        <f t="shared" ref="AH33:AH38" si="43">IF($B33="","",IF(S33="G",3,IF(S33&lt;($AF$10/2),0,1)))</f>
        <v/>
      </c>
      <c r="AI33" s="11" t="str">
        <f t="shared" ref="AI33:AI38" si="44">IF($B33="","",IF(T33="G",3,IF(T33&lt;($AG$10/2),0,1)))</f>
        <v/>
      </c>
    </row>
    <row r="34" spans="1:35" ht="17.100000000000001" customHeight="1">
      <c r="A34" s="33"/>
      <c r="B34" s="34" t="str">
        <f t="shared" si="32"/>
        <v/>
      </c>
      <c r="C34" s="71"/>
      <c r="D34" s="72"/>
      <c r="E34" s="72"/>
      <c r="F34" s="17" t="str">
        <f t="shared" si="19"/>
        <v/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2" t="str">
        <f t="shared" si="4"/>
        <v/>
      </c>
      <c r="T34" s="13" t="str">
        <f t="shared" si="6"/>
        <v/>
      </c>
      <c r="X34" s="11" t="str">
        <f t="shared" si="33"/>
        <v/>
      </c>
      <c r="Y34" s="11" t="str">
        <f t="shared" si="34"/>
        <v/>
      </c>
      <c r="Z34" s="11" t="str">
        <f t="shared" si="35"/>
        <v/>
      </c>
      <c r="AA34" s="11" t="str">
        <f t="shared" si="36"/>
        <v/>
      </c>
      <c r="AB34" s="11" t="str">
        <f t="shared" si="37"/>
        <v/>
      </c>
      <c r="AC34" s="11" t="str">
        <f t="shared" si="38"/>
        <v/>
      </c>
      <c r="AD34" s="11" t="str">
        <f t="shared" si="39"/>
        <v/>
      </c>
      <c r="AE34" s="11" t="str">
        <f t="shared" si="40"/>
        <v/>
      </c>
      <c r="AF34" s="11" t="str">
        <f t="shared" si="41"/>
        <v/>
      </c>
      <c r="AG34" s="11" t="str">
        <f t="shared" si="42"/>
        <v/>
      </c>
      <c r="AH34" s="11" t="str">
        <f t="shared" si="43"/>
        <v/>
      </c>
      <c r="AI34" s="11" t="str">
        <f t="shared" si="44"/>
        <v/>
      </c>
    </row>
    <row r="35" spans="1:35" ht="17.100000000000001" customHeight="1">
      <c r="A35" s="33"/>
      <c r="B35" s="34" t="str">
        <f t="shared" si="32"/>
        <v/>
      </c>
      <c r="C35" s="71"/>
      <c r="D35" s="72"/>
      <c r="E35" s="72"/>
      <c r="F35" s="17" t="str">
        <f t="shared" si="19"/>
        <v/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2" t="str">
        <f t="shared" si="4"/>
        <v/>
      </c>
      <c r="T35" s="13" t="str">
        <f t="shared" si="6"/>
        <v/>
      </c>
      <c r="X35" s="11" t="str">
        <f t="shared" si="33"/>
        <v/>
      </c>
      <c r="Y35" s="11" t="str">
        <f t="shared" si="34"/>
        <v/>
      </c>
      <c r="Z35" s="11" t="str">
        <f t="shared" si="35"/>
        <v/>
      </c>
      <c r="AA35" s="11" t="str">
        <f t="shared" si="36"/>
        <v/>
      </c>
      <c r="AB35" s="11" t="str">
        <f t="shared" si="37"/>
        <v/>
      </c>
      <c r="AC35" s="11" t="str">
        <f t="shared" si="38"/>
        <v/>
      </c>
      <c r="AD35" s="11" t="str">
        <f t="shared" si="39"/>
        <v/>
      </c>
      <c r="AE35" s="11" t="str">
        <f t="shared" si="40"/>
        <v/>
      </c>
      <c r="AF35" s="11" t="str">
        <f t="shared" si="41"/>
        <v/>
      </c>
      <c r="AG35" s="11" t="str">
        <f t="shared" si="42"/>
        <v/>
      </c>
      <c r="AH35" s="11" t="str">
        <f t="shared" si="43"/>
        <v/>
      </c>
      <c r="AI35" s="11" t="str">
        <f t="shared" si="44"/>
        <v/>
      </c>
    </row>
    <row r="36" spans="1:35" ht="17.100000000000001" customHeight="1">
      <c r="A36" s="33"/>
      <c r="B36" s="34" t="str">
        <f t="shared" si="32"/>
        <v/>
      </c>
      <c r="C36" s="71"/>
      <c r="D36" s="72"/>
      <c r="E36" s="72"/>
      <c r="F36" s="17" t="str">
        <f t="shared" si="19"/>
        <v/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2" t="str">
        <f t="shared" si="4"/>
        <v/>
      </c>
      <c r="T36" s="13" t="str">
        <f t="shared" si="6"/>
        <v/>
      </c>
      <c r="X36" s="11" t="str">
        <f t="shared" si="33"/>
        <v/>
      </c>
      <c r="Y36" s="11" t="str">
        <f t="shared" si="34"/>
        <v/>
      </c>
      <c r="Z36" s="11" t="str">
        <f t="shared" si="35"/>
        <v/>
      </c>
      <c r="AA36" s="11" t="str">
        <f t="shared" si="36"/>
        <v/>
      </c>
      <c r="AB36" s="11" t="str">
        <f t="shared" si="37"/>
        <v/>
      </c>
      <c r="AC36" s="11" t="str">
        <f t="shared" si="38"/>
        <v/>
      </c>
      <c r="AD36" s="11" t="str">
        <f t="shared" si="39"/>
        <v/>
      </c>
      <c r="AE36" s="11" t="str">
        <f t="shared" si="40"/>
        <v/>
      </c>
      <c r="AF36" s="11" t="str">
        <f t="shared" si="41"/>
        <v/>
      </c>
      <c r="AG36" s="11" t="str">
        <f t="shared" si="42"/>
        <v/>
      </c>
      <c r="AH36" s="11" t="str">
        <f t="shared" si="43"/>
        <v/>
      </c>
      <c r="AI36" s="11" t="str">
        <f t="shared" si="44"/>
        <v/>
      </c>
    </row>
    <row r="37" spans="1:35" ht="17.100000000000001" customHeight="1">
      <c r="A37" s="33"/>
      <c r="B37" s="34" t="str">
        <f t="shared" si="32"/>
        <v/>
      </c>
      <c r="C37" s="71"/>
      <c r="D37" s="72"/>
      <c r="E37" s="72"/>
      <c r="F37" s="17" t="str">
        <f t="shared" si="19"/>
        <v/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2" t="str">
        <f t="shared" si="4"/>
        <v/>
      </c>
      <c r="T37" s="13" t="str">
        <f t="shared" si="6"/>
        <v/>
      </c>
      <c r="X37" s="11" t="str">
        <f t="shared" si="33"/>
        <v/>
      </c>
      <c r="Y37" s="11" t="str">
        <f t="shared" si="34"/>
        <v/>
      </c>
      <c r="Z37" s="11" t="str">
        <f t="shared" si="35"/>
        <v/>
      </c>
      <c r="AA37" s="11" t="str">
        <f t="shared" si="36"/>
        <v/>
      </c>
      <c r="AB37" s="11" t="str">
        <f t="shared" si="37"/>
        <v/>
      </c>
      <c r="AC37" s="11" t="str">
        <f t="shared" si="38"/>
        <v/>
      </c>
      <c r="AD37" s="11" t="str">
        <f t="shared" si="39"/>
        <v/>
      </c>
      <c r="AE37" s="11" t="str">
        <f t="shared" si="40"/>
        <v/>
      </c>
      <c r="AF37" s="11" t="str">
        <f t="shared" si="41"/>
        <v/>
      </c>
      <c r="AG37" s="11" t="str">
        <f t="shared" si="42"/>
        <v/>
      </c>
      <c r="AH37" s="11" t="str">
        <f t="shared" si="43"/>
        <v/>
      </c>
      <c r="AI37" s="11" t="str">
        <f t="shared" si="44"/>
        <v/>
      </c>
    </row>
    <row r="38" spans="1:35" ht="17.100000000000001" customHeight="1">
      <c r="A38" s="33"/>
      <c r="B38" s="34" t="str">
        <f t="shared" si="32"/>
        <v/>
      </c>
      <c r="C38" s="71"/>
      <c r="D38" s="72"/>
      <c r="E38" s="72"/>
      <c r="F38" s="17" t="str">
        <f t="shared" si="19"/>
        <v/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2" t="str">
        <f t="shared" si="4"/>
        <v/>
      </c>
      <c r="T38" s="13" t="str">
        <f t="shared" si="6"/>
        <v/>
      </c>
      <c r="X38" s="11" t="str">
        <f t="shared" si="33"/>
        <v/>
      </c>
      <c r="Y38" s="11" t="str">
        <f t="shared" si="34"/>
        <v/>
      </c>
      <c r="Z38" s="11" t="str">
        <f t="shared" si="35"/>
        <v/>
      </c>
      <c r="AA38" s="11" t="str">
        <f t="shared" si="36"/>
        <v/>
      </c>
      <c r="AB38" s="11" t="str">
        <f t="shared" si="37"/>
        <v/>
      </c>
      <c r="AC38" s="11" t="str">
        <f t="shared" si="38"/>
        <v/>
      </c>
      <c r="AD38" s="11" t="str">
        <f t="shared" si="39"/>
        <v/>
      </c>
      <c r="AE38" s="11" t="str">
        <f t="shared" si="40"/>
        <v/>
      </c>
      <c r="AF38" s="11" t="str">
        <f t="shared" si="41"/>
        <v/>
      </c>
      <c r="AG38" s="11" t="str">
        <f t="shared" si="42"/>
        <v/>
      </c>
      <c r="AH38" s="11" t="str">
        <f t="shared" si="43"/>
        <v/>
      </c>
      <c r="AI38" s="11" t="str">
        <f t="shared" si="44"/>
        <v/>
      </c>
    </row>
    <row r="39" spans="1:35" ht="17.100000000000001" customHeight="1">
      <c r="A39" s="33"/>
      <c r="B39" s="34" t="str">
        <f t="shared" si="32"/>
        <v/>
      </c>
      <c r="C39" s="71"/>
      <c r="D39" s="72"/>
      <c r="E39" s="72"/>
      <c r="F39" s="17" t="str">
        <f t="shared" si="19"/>
        <v/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2" t="str">
        <f t="shared" si="4"/>
        <v/>
      </c>
      <c r="T39" s="13" t="str">
        <f t="shared" si="6"/>
        <v/>
      </c>
      <c r="X39" s="11" t="str">
        <f>IF($B39="","",IF(G39="G",3,IF(G39&lt;($X$10/2),0,1)))</f>
        <v/>
      </c>
      <c r="Y39" s="11" t="str">
        <f>IF($B39="","",IF(H39="G",3,IF(H39&lt;($Y$10/2),0,1)))</f>
        <v/>
      </c>
      <c r="Z39" s="11" t="str">
        <f>IF($B39="","",IF(I39="G",3,IF(I39&lt;($Z$10/2),0,1)))</f>
        <v/>
      </c>
      <c r="AA39" s="11" t="str">
        <f>IF($B39="","",IF(J39="G",3,IF(J39&lt;($AA$10/2),0,1)))</f>
        <v/>
      </c>
      <c r="AB39" s="11" t="str">
        <f>IF($B39="","",IF(K39="G",3,IF(K39&lt;($AB$10/2),0,1)))</f>
        <v/>
      </c>
      <c r="AC39" s="11" t="str">
        <f>IF($B39="","",IF(L39="G",3,IF(L39&lt;($AC$10/2),0,1)))</f>
        <v/>
      </c>
      <c r="AD39" s="11" t="str">
        <f>IF($B39="","",IF(M39="G",3,IF(M39&lt;($AD$10/2),0,1)))</f>
        <v/>
      </c>
      <c r="AE39" s="11" t="str">
        <f>IF($B39="","",IF(N39="G",3,IF(N39&lt;($AE$10/2),0,1)))</f>
        <v/>
      </c>
      <c r="AF39" s="11" t="str">
        <f>IF($B39="","",IF(Q39="G",3,IF(Q39&lt;($AF$10/2),0,1)))</f>
        <v/>
      </c>
      <c r="AG39" s="11" t="str">
        <f>IF($B39="","",IF(R39="G",3,IF(R39&lt;($AG$10/2),0,1)))</f>
        <v/>
      </c>
      <c r="AH39" s="11" t="str">
        <f>IF($B39="","",IF(S39="G",3,IF(S39&lt;($AF$10/2),0,1)))</f>
        <v/>
      </c>
      <c r="AI39" s="11" t="str">
        <f>IF($B39="","",IF(T39="G",3,IF(T39&lt;($AG$10/2),0,1)))</f>
        <v/>
      </c>
    </row>
    <row r="40" spans="1:35" ht="17.100000000000001" customHeight="1">
      <c r="A40" s="33"/>
      <c r="B40" s="34" t="str">
        <f t="shared" si="32"/>
        <v/>
      </c>
      <c r="C40" s="71"/>
      <c r="D40" s="72"/>
      <c r="E40" s="72"/>
      <c r="F40" s="17" t="str">
        <f t="shared" si="19"/>
        <v/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2" t="str">
        <f t="shared" si="4"/>
        <v/>
      </c>
      <c r="T40" s="13" t="str">
        <f t="shared" si="6"/>
        <v/>
      </c>
      <c r="X40" s="11" t="str">
        <f t="shared" ref="X40:X46" si="45">IF($B40="","",IF(G40="G",3,IF(G40&lt;($X$10/2),0,1)))</f>
        <v/>
      </c>
      <c r="Y40" s="11" t="str">
        <f t="shared" ref="Y40:Y46" si="46">IF($B40="","",IF(H40="G",3,IF(H40&lt;($Y$10/2),0,1)))</f>
        <v/>
      </c>
      <c r="Z40" s="11" t="str">
        <f t="shared" ref="Z40:Z46" si="47">IF($B40="","",IF(I40="G",3,IF(I40&lt;($Z$10/2),0,1)))</f>
        <v/>
      </c>
      <c r="AA40" s="11" t="str">
        <f t="shared" ref="AA40:AA46" si="48">IF($B40="","",IF(J40="G",3,IF(J40&lt;($AA$10/2),0,1)))</f>
        <v/>
      </c>
      <c r="AB40" s="11" t="str">
        <f t="shared" ref="AB40:AB46" si="49">IF($B40="","",IF(K40="G",3,IF(K40&lt;($AB$10/2),0,1)))</f>
        <v/>
      </c>
      <c r="AC40" s="11" t="str">
        <f t="shared" ref="AC40:AC46" si="50">IF($B40="","",IF(L40="G",3,IF(L40&lt;($AC$10/2),0,1)))</f>
        <v/>
      </c>
      <c r="AD40" s="11" t="str">
        <f t="shared" ref="AD40:AD46" si="51">IF($B40="","",IF(M40="G",3,IF(M40&lt;($AD$10/2),0,1)))</f>
        <v/>
      </c>
      <c r="AE40" s="11" t="str">
        <f t="shared" ref="AE40:AE46" si="52">IF($B40="","",IF(N40="G",3,IF(N40&lt;($AE$10/2),0,1)))</f>
        <v/>
      </c>
      <c r="AF40" s="11" t="str">
        <f t="shared" ref="AF40:AF46" si="53">IF($B40="","",IF(Q40="G",3,IF(Q40&lt;($AF$10/2),0,1)))</f>
        <v/>
      </c>
      <c r="AG40" s="11" t="str">
        <f t="shared" ref="AG40:AG46" si="54">IF($B40="","",IF(R40="G",3,IF(R40&lt;($AG$10/2),0,1)))</f>
        <v/>
      </c>
      <c r="AH40" s="11" t="str">
        <f t="shared" ref="AH40:AH46" si="55">IF($B40="","",IF(S40="G",3,IF(S40&lt;($AF$10/2),0,1)))</f>
        <v/>
      </c>
      <c r="AI40" s="11" t="str">
        <f t="shared" ref="AI40:AI46" si="56">IF($B40="","",IF(T40="G",3,IF(T40&lt;($AG$10/2),0,1)))</f>
        <v/>
      </c>
    </row>
    <row r="41" spans="1:35" ht="17.100000000000001" customHeight="1">
      <c r="A41" s="33"/>
      <c r="B41" s="34" t="str">
        <f t="shared" si="32"/>
        <v/>
      </c>
      <c r="C41" s="71"/>
      <c r="D41" s="72"/>
      <c r="E41" s="72"/>
      <c r="F41" s="17" t="str">
        <f t="shared" si="19"/>
        <v/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2" t="str">
        <f t="shared" si="4"/>
        <v/>
      </c>
      <c r="T41" s="13" t="str">
        <f t="shared" si="6"/>
        <v/>
      </c>
      <c r="X41" s="11" t="str">
        <f t="shared" si="45"/>
        <v/>
      </c>
      <c r="Y41" s="11" t="str">
        <f t="shared" si="46"/>
        <v/>
      </c>
      <c r="Z41" s="11" t="str">
        <f t="shared" si="47"/>
        <v/>
      </c>
      <c r="AA41" s="11" t="str">
        <f t="shared" si="48"/>
        <v/>
      </c>
      <c r="AB41" s="11" t="str">
        <f t="shared" si="49"/>
        <v/>
      </c>
      <c r="AC41" s="11" t="str">
        <f t="shared" si="50"/>
        <v/>
      </c>
      <c r="AD41" s="11" t="str">
        <f t="shared" si="51"/>
        <v/>
      </c>
      <c r="AE41" s="11" t="str">
        <f t="shared" si="52"/>
        <v/>
      </c>
      <c r="AF41" s="11" t="str">
        <f t="shared" si="53"/>
        <v/>
      </c>
      <c r="AG41" s="11" t="str">
        <f t="shared" si="54"/>
        <v/>
      </c>
      <c r="AH41" s="11" t="str">
        <f t="shared" si="55"/>
        <v/>
      </c>
      <c r="AI41" s="11" t="str">
        <f t="shared" si="56"/>
        <v/>
      </c>
    </row>
    <row r="42" spans="1:35" ht="17.100000000000001" customHeight="1">
      <c r="A42" s="33" t="str">
        <f t="shared" si="3"/>
        <v>30()</v>
      </c>
      <c r="B42" s="34" t="str">
        <f t="shared" si="32"/>
        <v/>
      </c>
      <c r="C42" s="71"/>
      <c r="D42" s="72"/>
      <c r="E42" s="72"/>
      <c r="F42" s="17" t="str">
        <f t="shared" si="19"/>
        <v/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2" t="str">
        <f t="shared" si="4"/>
        <v/>
      </c>
      <c r="T42" s="13" t="str">
        <f t="shared" si="6"/>
        <v/>
      </c>
      <c r="X42" s="11" t="str">
        <f t="shared" si="45"/>
        <v/>
      </c>
      <c r="Y42" s="11" t="str">
        <f t="shared" si="46"/>
        <v/>
      </c>
      <c r="Z42" s="11" t="str">
        <f t="shared" si="47"/>
        <v/>
      </c>
      <c r="AA42" s="11" t="str">
        <f t="shared" si="48"/>
        <v/>
      </c>
      <c r="AB42" s="11" t="str">
        <f t="shared" si="49"/>
        <v/>
      </c>
      <c r="AC42" s="11" t="str">
        <f t="shared" si="50"/>
        <v/>
      </c>
      <c r="AD42" s="11" t="str">
        <f t="shared" si="51"/>
        <v/>
      </c>
      <c r="AE42" s="11" t="str">
        <f t="shared" si="52"/>
        <v/>
      </c>
      <c r="AF42" s="11" t="str">
        <f t="shared" si="53"/>
        <v/>
      </c>
      <c r="AG42" s="11" t="str">
        <f t="shared" si="54"/>
        <v/>
      </c>
      <c r="AH42" s="11" t="str">
        <f t="shared" si="55"/>
        <v/>
      </c>
      <c r="AI42" s="11" t="str">
        <f t="shared" si="56"/>
        <v/>
      </c>
    </row>
    <row r="43" spans="1:35" ht="17.100000000000001" customHeight="1">
      <c r="A43" s="33" t="str">
        <f t="shared" si="3"/>
        <v>31()</v>
      </c>
      <c r="B43" s="34" t="str">
        <f t="shared" si="32"/>
        <v/>
      </c>
      <c r="C43" s="71"/>
      <c r="D43" s="72"/>
      <c r="E43" s="72"/>
      <c r="F43" s="17" t="str">
        <f t="shared" si="19"/>
        <v/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2" t="str">
        <f t="shared" si="4"/>
        <v/>
      </c>
      <c r="T43" s="13" t="str">
        <f t="shared" si="6"/>
        <v/>
      </c>
      <c r="X43" s="11" t="str">
        <f t="shared" si="45"/>
        <v/>
      </c>
      <c r="Y43" s="11" t="str">
        <f t="shared" si="46"/>
        <v/>
      </c>
      <c r="Z43" s="11" t="str">
        <f t="shared" si="47"/>
        <v/>
      </c>
      <c r="AA43" s="11" t="str">
        <f t="shared" si="48"/>
        <v/>
      </c>
      <c r="AB43" s="11" t="str">
        <f t="shared" si="49"/>
        <v/>
      </c>
      <c r="AC43" s="11" t="str">
        <f t="shared" si="50"/>
        <v/>
      </c>
      <c r="AD43" s="11" t="str">
        <f t="shared" si="51"/>
        <v/>
      </c>
      <c r="AE43" s="11" t="str">
        <f t="shared" si="52"/>
        <v/>
      </c>
      <c r="AF43" s="11" t="str">
        <f t="shared" si="53"/>
        <v/>
      </c>
      <c r="AG43" s="11" t="str">
        <f t="shared" si="54"/>
        <v/>
      </c>
      <c r="AH43" s="11" t="str">
        <f t="shared" si="55"/>
        <v/>
      </c>
      <c r="AI43" s="11" t="str">
        <f t="shared" si="56"/>
        <v/>
      </c>
    </row>
    <row r="44" spans="1:35" ht="17.100000000000001" customHeight="1">
      <c r="A44" s="33" t="str">
        <f t="shared" si="3"/>
        <v>32()</v>
      </c>
      <c r="B44" s="34" t="str">
        <f t="shared" si="32"/>
        <v/>
      </c>
      <c r="C44" s="71"/>
      <c r="D44" s="72"/>
      <c r="E44" s="72"/>
      <c r="F44" s="17" t="str">
        <f t="shared" si="19"/>
        <v/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2" t="str">
        <f t="shared" si="4"/>
        <v/>
      </c>
      <c r="T44" s="13" t="str">
        <f t="shared" si="6"/>
        <v/>
      </c>
      <c r="X44" s="11" t="str">
        <f t="shared" si="45"/>
        <v/>
      </c>
      <c r="Y44" s="11" t="str">
        <f t="shared" si="46"/>
        <v/>
      </c>
      <c r="Z44" s="11" t="str">
        <f t="shared" si="47"/>
        <v/>
      </c>
      <c r="AA44" s="11" t="str">
        <f t="shared" si="48"/>
        <v/>
      </c>
      <c r="AB44" s="11" t="str">
        <f t="shared" si="49"/>
        <v/>
      </c>
      <c r="AC44" s="11" t="str">
        <f t="shared" si="50"/>
        <v/>
      </c>
      <c r="AD44" s="11" t="str">
        <f t="shared" si="51"/>
        <v/>
      </c>
      <c r="AE44" s="11" t="str">
        <f t="shared" si="52"/>
        <v/>
      </c>
      <c r="AF44" s="11" t="str">
        <f t="shared" si="53"/>
        <v/>
      </c>
      <c r="AG44" s="11" t="str">
        <f t="shared" si="54"/>
        <v/>
      </c>
      <c r="AH44" s="11" t="str">
        <f t="shared" si="55"/>
        <v/>
      </c>
      <c r="AI44" s="11" t="str">
        <f t="shared" si="56"/>
        <v/>
      </c>
    </row>
    <row r="45" spans="1:35" ht="17.100000000000001" customHeight="1">
      <c r="A45" s="33" t="str">
        <f t="shared" si="3"/>
        <v>33()</v>
      </c>
      <c r="B45" s="34" t="str">
        <f t="shared" si="32"/>
        <v/>
      </c>
      <c r="C45" s="71"/>
      <c r="D45" s="72"/>
      <c r="E45" s="72"/>
      <c r="F45" s="17" t="str">
        <f t="shared" si="19"/>
        <v/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2" t="str">
        <f t="shared" si="4"/>
        <v/>
      </c>
      <c r="T45" s="13" t="str">
        <f t="shared" si="6"/>
        <v/>
      </c>
      <c r="X45" s="11" t="str">
        <f t="shared" si="45"/>
        <v/>
      </c>
      <c r="Y45" s="11" t="str">
        <f t="shared" si="46"/>
        <v/>
      </c>
      <c r="Z45" s="11" t="str">
        <f t="shared" si="47"/>
        <v/>
      </c>
      <c r="AA45" s="11" t="str">
        <f t="shared" si="48"/>
        <v/>
      </c>
      <c r="AB45" s="11" t="str">
        <f t="shared" si="49"/>
        <v/>
      </c>
      <c r="AC45" s="11" t="str">
        <f t="shared" si="50"/>
        <v/>
      </c>
      <c r="AD45" s="11" t="str">
        <f t="shared" si="51"/>
        <v/>
      </c>
      <c r="AE45" s="11" t="str">
        <f t="shared" si="52"/>
        <v/>
      </c>
      <c r="AF45" s="11" t="str">
        <f t="shared" si="53"/>
        <v/>
      </c>
      <c r="AG45" s="11" t="str">
        <f t="shared" si="54"/>
        <v/>
      </c>
      <c r="AH45" s="11" t="str">
        <f t="shared" si="55"/>
        <v/>
      </c>
      <c r="AI45" s="11" t="str">
        <f t="shared" si="56"/>
        <v/>
      </c>
    </row>
    <row r="46" spans="1:35" ht="17.100000000000001" customHeight="1">
      <c r="A46" s="33" t="str">
        <f t="shared" si="3"/>
        <v>34()</v>
      </c>
      <c r="B46" s="34" t="str">
        <f t="shared" si="32"/>
        <v/>
      </c>
      <c r="C46" s="71"/>
      <c r="D46" s="72"/>
      <c r="E46" s="72"/>
      <c r="F46" s="17" t="str">
        <f t="shared" si="19"/>
        <v/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2" t="str">
        <f t="shared" si="4"/>
        <v/>
      </c>
      <c r="T46" s="13" t="str">
        <f t="shared" si="6"/>
        <v/>
      </c>
      <c r="X46" s="11" t="str">
        <f t="shared" si="45"/>
        <v/>
      </c>
      <c r="Y46" s="11" t="str">
        <f t="shared" si="46"/>
        <v/>
      </c>
      <c r="Z46" s="11" t="str">
        <f t="shared" si="47"/>
        <v/>
      </c>
      <c r="AA46" s="11" t="str">
        <f t="shared" si="48"/>
        <v/>
      </c>
      <c r="AB46" s="11" t="str">
        <f t="shared" si="49"/>
        <v/>
      </c>
      <c r="AC46" s="11" t="str">
        <f t="shared" si="50"/>
        <v/>
      </c>
      <c r="AD46" s="11" t="str">
        <f t="shared" si="51"/>
        <v/>
      </c>
      <c r="AE46" s="11" t="str">
        <f t="shared" si="52"/>
        <v/>
      </c>
      <c r="AF46" s="11" t="str">
        <f t="shared" si="53"/>
        <v/>
      </c>
      <c r="AG46" s="11" t="str">
        <f t="shared" si="54"/>
        <v/>
      </c>
      <c r="AH46" s="11" t="str">
        <f t="shared" si="55"/>
        <v/>
      </c>
      <c r="AI46" s="11" t="str">
        <f t="shared" si="56"/>
        <v/>
      </c>
    </row>
    <row r="47" spans="1:35" ht="17.100000000000001" customHeight="1">
      <c r="B47" s="100" t="s">
        <v>0</v>
      </c>
      <c r="C47" s="101"/>
      <c r="D47" s="101"/>
      <c r="E47" s="101"/>
      <c r="F47" s="51">
        <f>COUNTA(D13:D46)-F48</f>
        <v>11</v>
      </c>
      <c r="G47" s="5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99" t="s">
        <v>5</v>
      </c>
      <c r="T47" s="3"/>
      <c r="X47" s="1">
        <f>COUNTA(X13:X46)</f>
        <v>34</v>
      </c>
      <c r="Y47" s="1">
        <f>COUNTA(Y13:Y46)</f>
        <v>34</v>
      </c>
      <c r="Z47" s="1">
        <f>COUNTA(Z13:Z46)</f>
        <v>34</v>
      </c>
      <c r="AA47" s="1">
        <f>COUNTA(AA13:AA46)</f>
        <v>34</v>
      </c>
      <c r="AB47" s="1">
        <f>COUNTA(AB13:AB46)</f>
        <v>34</v>
      </c>
      <c r="AC47" s="1">
        <f>COUNTA(AC13:AC46)</f>
        <v>34</v>
      </c>
      <c r="AD47" s="1">
        <f>COUNTA(AD13:AD46)</f>
        <v>34</v>
      </c>
      <c r="AE47" s="1">
        <f>COUNTA(AE13:AE46)</f>
        <v>34</v>
      </c>
      <c r="AF47" s="1">
        <f>COUNTA(AF13:AF46)</f>
        <v>34</v>
      </c>
      <c r="AG47" s="1">
        <f>COUNTA(AG13:AG46)</f>
        <v>34</v>
      </c>
      <c r="AH47" s="1">
        <f>COUNTA(AH13:AH46)</f>
        <v>34</v>
      </c>
      <c r="AI47" s="1">
        <f>COUNTA(AI13:AI46)</f>
        <v>34</v>
      </c>
    </row>
    <row r="48" spans="1:35" ht="17.100000000000001" customHeight="1">
      <c r="B48" s="100" t="s">
        <v>4</v>
      </c>
      <c r="C48" s="101"/>
      <c r="D48" s="101"/>
      <c r="E48" s="101"/>
      <c r="F48" s="51">
        <f>X48</f>
        <v>5</v>
      </c>
      <c r="G48" s="5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99"/>
      <c r="T48" s="3">
        <f>COUNTIF(T13:T46,3)</f>
        <v>5</v>
      </c>
      <c r="X48" s="1">
        <f>COUNTIF(X13:X46,3)</f>
        <v>5</v>
      </c>
      <c r="Y48" s="1">
        <f>COUNTIF(Y13:Y46,3)</f>
        <v>0</v>
      </c>
      <c r="Z48" s="1">
        <f>COUNTIF(Z13:Z46,3)</f>
        <v>0</v>
      </c>
      <c r="AA48" s="1">
        <f>COUNTIF(AA13:AA46,3)</f>
        <v>0</v>
      </c>
      <c r="AB48" s="1">
        <f>COUNTIF(AB13:AB46,3)</f>
        <v>0</v>
      </c>
      <c r="AC48" s="1">
        <f>COUNTIF(AC13:AC46,3)</f>
        <v>0</v>
      </c>
      <c r="AD48" s="1">
        <f>COUNTIF(AD13:AD46,3)</f>
        <v>0</v>
      </c>
      <c r="AE48" s="1">
        <f>COUNTIF(AE13:AE46,3)</f>
        <v>0</v>
      </c>
      <c r="AF48" s="1">
        <f>COUNTIF(AF13:AF46,3)</f>
        <v>0</v>
      </c>
      <c r="AG48" s="1">
        <f>COUNTIF(AG13:AG46,3)</f>
        <v>0</v>
      </c>
      <c r="AH48" s="1">
        <f>COUNTIF(AH13:AH46,3)</f>
        <v>0</v>
      </c>
      <c r="AI48" s="1">
        <f>COUNTIF(AI13:AI46,3)</f>
        <v>0</v>
      </c>
    </row>
    <row r="49" spans="2:35" ht="23.1" customHeight="1">
      <c r="B49" s="100" t="s">
        <v>33</v>
      </c>
      <c r="C49" s="101"/>
      <c r="D49" s="101"/>
      <c r="E49" s="101"/>
      <c r="F49" s="102"/>
      <c r="G49" s="59">
        <f t="shared" ref="G49:N49" si="57">X49</f>
        <v>11</v>
      </c>
      <c r="H49" s="59">
        <f t="shared" si="57"/>
        <v>11</v>
      </c>
      <c r="I49" s="59">
        <f t="shared" si="57"/>
        <v>11</v>
      </c>
      <c r="J49" s="59">
        <f t="shared" si="57"/>
        <v>11</v>
      </c>
      <c r="K49" s="59">
        <f t="shared" si="57"/>
        <v>11</v>
      </c>
      <c r="L49" s="59">
        <f t="shared" si="57"/>
        <v>10</v>
      </c>
      <c r="M49" s="59">
        <f t="shared" si="57"/>
        <v>11</v>
      </c>
      <c r="N49" s="59">
        <f t="shared" si="57"/>
        <v>9</v>
      </c>
      <c r="O49" s="61"/>
      <c r="P49" s="61"/>
      <c r="Q49" s="59"/>
      <c r="R49" s="59"/>
      <c r="S49" s="4">
        <f>T49</f>
        <v>11</v>
      </c>
      <c r="T49" s="3">
        <f>COUNTIF(T13:T46,1)</f>
        <v>11</v>
      </c>
      <c r="X49" s="1">
        <f>COUNTIF(X13:X46,1)</f>
        <v>11</v>
      </c>
      <c r="Y49" s="1">
        <f>COUNTIF(Y13:Y46,1)</f>
        <v>11</v>
      </c>
      <c r="Z49" s="1">
        <f>COUNTIF(Z13:Z46,1)</f>
        <v>11</v>
      </c>
      <c r="AA49" s="1">
        <f>COUNTIF(AA13:AA46,1)</f>
        <v>11</v>
      </c>
      <c r="AB49" s="1">
        <f>COUNTIF(AB13:AB46,1)</f>
        <v>11</v>
      </c>
      <c r="AC49" s="1">
        <f>COUNTIF(AC13:AC46,1)</f>
        <v>10</v>
      </c>
      <c r="AD49" s="1">
        <f>COUNTIF(AD13:AD46,1)</f>
        <v>11</v>
      </c>
      <c r="AE49" s="1">
        <f>COUNTIF(AE13:AE46,1)</f>
        <v>9</v>
      </c>
      <c r="AF49" s="1">
        <f>COUNTIF(AF13:AF46,1)</f>
        <v>16</v>
      </c>
      <c r="AG49" s="1">
        <f>COUNTIF(AG13:AG46,1)</f>
        <v>16</v>
      </c>
      <c r="AH49" s="1">
        <f>COUNTIF(AH13:AH46,1)</f>
        <v>16</v>
      </c>
      <c r="AI49" s="1">
        <f>COUNTIF(AI13:AI46,1)</f>
        <v>16</v>
      </c>
    </row>
    <row r="50" spans="2:35" ht="27" customHeight="1">
      <c r="B50" s="100" t="s">
        <v>34</v>
      </c>
      <c r="C50" s="101"/>
      <c r="D50" s="101"/>
      <c r="E50" s="101"/>
      <c r="F50" s="102"/>
      <c r="G50" s="5">
        <f t="shared" ref="G50:N50" si="58">IF(X47=0,"",$F$47-G49)</f>
        <v>0</v>
      </c>
      <c r="H50" s="5">
        <f t="shared" si="58"/>
        <v>0</v>
      </c>
      <c r="I50" s="5">
        <f t="shared" si="58"/>
        <v>0</v>
      </c>
      <c r="J50" s="5">
        <f t="shared" si="58"/>
        <v>0</v>
      </c>
      <c r="K50" s="5">
        <f t="shared" si="58"/>
        <v>0</v>
      </c>
      <c r="L50" s="5">
        <f t="shared" si="58"/>
        <v>1</v>
      </c>
      <c r="M50" s="5">
        <f t="shared" si="58"/>
        <v>0</v>
      </c>
      <c r="N50" s="5">
        <f t="shared" si="58"/>
        <v>2</v>
      </c>
      <c r="O50" s="5"/>
      <c r="P50" s="5"/>
      <c r="Q50" s="5"/>
      <c r="R50" s="5"/>
      <c r="S50" s="6">
        <f>$F$47-S49</f>
        <v>0</v>
      </c>
      <c r="T50" s="3">
        <f>COUNTIF(T13:T46,0)</f>
        <v>0</v>
      </c>
      <c r="X50" s="1">
        <f>COUNTIF(X13:X46,0)</f>
        <v>0</v>
      </c>
      <c r="Y50" s="1">
        <f>COUNTIF(Y13:Y46,0)</f>
        <v>5</v>
      </c>
      <c r="Z50" s="1">
        <f>COUNTIF(Z13:Z46,0)</f>
        <v>5</v>
      </c>
      <c r="AA50" s="1">
        <f>COUNTIF(AA13:AA46,0)</f>
        <v>5</v>
      </c>
      <c r="AB50" s="1">
        <f>COUNTIF(AB13:AB46,0)</f>
        <v>5</v>
      </c>
      <c r="AC50" s="1">
        <f>COUNTIF(AC13:AC46,0)</f>
        <v>6</v>
      </c>
      <c r="AD50" s="1">
        <f>COUNTIF(AD13:AD46,0)</f>
        <v>5</v>
      </c>
      <c r="AE50" s="1">
        <f>COUNTIF(AE13:AE46,0)</f>
        <v>7</v>
      </c>
      <c r="AF50" s="1">
        <f>COUNTIF(AF13:AF46,0)</f>
        <v>0</v>
      </c>
      <c r="AG50" s="1">
        <f>COUNTIF(AG13:AG46,0)</f>
        <v>0</v>
      </c>
      <c r="AH50" s="1">
        <f>COUNTIF(AH13:AH46,0)</f>
        <v>0</v>
      </c>
      <c r="AI50" s="1">
        <f>COUNTIF(AI13:AI46,0)</f>
        <v>0</v>
      </c>
    </row>
    <row r="51" spans="2:35" ht="25.5" customHeight="1">
      <c r="B51" s="103"/>
      <c r="C51" s="104"/>
      <c r="D51" s="104"/>
      <c r="E51" s="104"/>
      <c r="F51" s="105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9">
        <f>S49/F47</f>
        <v>1</v>
      </c>
      <c r="T51" s="16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2:35" ht="27" customHeight="1">
      <c r="B52" s="100" t="s">
        <v>10</v>
      </c>
      <c r="C52" s="101"/>
      <c r="D52" s="101"/>
      <c r="E52" s="101"/>
      <c r="F52" s="102"/>
      <c r="G52" s="14">
        <f>G9</f>
        <v>1</v>
      </c>
      <c r="H52" s="14">
        <f>H9</f>
        <v>2</v>
      </c>
      <c r="I52" s="14">
        <f>I9</f>
        <v>3</v>
      </c>
      <c r="J52" s="14">
        <f>J9</f>
        <v>4</v>
      </c>
      <c r="K52" s="14">
        <f>K9</f>
        <v>5</v>
      </c>
      <c r="L52" s="14">
        <f>L9</f>
        <v>6</v>
      </c>
      <c r="M52" s="14">
        <f>M9</f>
        <v>7</v>
      </c>
      <c r="N52" s="14">
        <f>N9</f>
        <v>8</v>
      </c>
      <c r="O52" s="14"/>
      <c r="P52" s="14"/>
      <c r="Q52" s="14"/>
      <c r="R52" s="14"/>
      <c r="S52" s="56"/>
      <c r="T52" s="16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 spans="2:35" ht="27" customHeight="1">
      <c r="B53" s="100" t="s">
        <v>2</v>
      </c>
      <c r="C53" s="101"/>
      <c r="D53" s="101"/>
      <c r="E53" s="101"/>
      <c r="F53" s="102"/>
      <c r="G53" s="7">
        <f>IF(G49=0,0%,G49/$F$47)</f>
        <v>1</v>
      </c>
      <c r="H53" s="7">
        <f t="shared" ref="H53:R53" si="59">IF(H49=0,0%,H49/$F$47)</f>
        <v>1</v>
      </c>
      <c r="I53" s="7">
        <f t="shared" si="59"/>
        <v>1</v>
      </c>
      <c r="J53" s="7">
        <f t="shared" si="59"/>
        <v>1</v>
      </c>
      <c r="K53" s="7">
        <f t="shared" si="59"/>
        <v>1</v>
      </c>
      <c r="L53" s="7">
        <f t="shared" si="59"/>
        <v>0.90909090909090906</v>
      </c>
      <c r="M53" s="7">
        <f t="shared" si="59"/>
        <v>1</v>
      </c>
      <c r="N53" s="7">
        <f t="shared" si="59"/>
        <v>0.81818181818181823</v>
      </c>
      <c r="O53" s="7"/>
      <c r="P53" s="7"/>
      <c r="Q53" s="7"/>
      <c r="R53" s="7"/>
      <c r="S53" s="56"/>
      <c r="T53" s="10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5" spans="2:35" ht="19.05" customHeight="1">
      <c r="B55" s="50"/>
      <c r="C55" s="108" t="s">
        <v>23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9"/>
    </row>
    <row r="56" spans="2:35">
      <c r="B56" s="45"/>
      <c r="C56" s="73"/>
      <c r="D56" s="73"/>
      <c r="E56" s="73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7"/>
    </row>
    <row r="57" spans="2:35" ht="18.45" customHeight="1">
      <c r="B57" s="40"/>
      <c r="C57" s="74">
        <v>1</v>
      </c>
      <c r="D57" s="110" t="s">
        <v>35</v>
      </c>
      <c r="E57" s="110"/>
      <c r="F57" s="54">
        <f>S51</f>
        <v>1</v>
      </c>
      <c r="G57" s="111" t="s">
        <v>36</v>
      </c>
      <c r="H57" s="111"/>
      <c r="I57" s="111"/>
      <c r="J57" s="111"/>
      <c r="K57" s="111"/>
      <c r="L57" s="41"/>
      <c r="M57" s="41"/>
      <c r="N57" s="41"/>
      <c r="O57" s="41"/>
      <c r="P57" s="41"/>
      <c r="Q57" s="41"/>
      <c r="R57" s="41"/>
      <c r="S57" s="53"/>
    </row>
    <row r="58" spans="2:35">
      <c r="B58" s="40"/>
      <c r="C58" s="75">
        <v>2</v>
      </c>
      <c r="D58" s="106" t="s">
        <v>24</v>
      </c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7"/>
    </row>
    <row r="59" spans="2:35">
      <c r="B59" s="40"/>
      <c r="C59" s="75">
        <v>3</v>
      </c>
      <c r="D59" s="106" t="s">
        <v>3</v>
      </c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7"/>
    </row>
    <row r="60" spans="2:35">
      <c r="B60" s="40"/>
      <c r="C60" s="75">
        <v>4</v>
      </c>
      <c r="D60" s="106" t="s">
        <v>1191</v>
      </c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7"/>
    </row>
    <row r="61" spans="2:35">
      <c r="B61" s="40"/>
      <c r="C61" s="75">
        <v>5</v>
      </c>
      <c r="D61" s="106" t="s">
        <v>37</v>
      </c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7"/>
    </row>
    <row r="62" spans="2:35">
      <c r="B62" s="40"/>
      <c r="C62" s="75">
        <v>6</v>
      </c>
      <c r="D62" s="106" t="s">
        <v>38</v>
      </c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7"/>
    </row>
    <row r="63" spans="2:35">
      <c r="B63" s="40"/>
      <c r="C63" s="75">
        <v>7</v>
      </c>
      <c r="D63" s="106" t="s">
        <v>16</v>
      </c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7"/>
    </row>
    <row r="64" spans="2:35">
      <c r="B64" s="40"/>
      <c r="C64" s="75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7"/>
    </row>
    <row r="65" spans="2:19">
      <c r="B65" s="40"/>
      <c r="C65" s="75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7"/>
    </row>
    <row r="66" spans="2:19">
      <c r="B66" s="42"/>
      <c r="C66" s="76"/>
      <c r="D66" s="77"/>
      <c r="E66" s="77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4"/>
    </row>
    <row r="67" spans="2:19">
      <c r="C67" s="78"/>
      <c r="D67" s="79"/>
      <c r="E67" s="79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2:19">
      <c r="C68" s="78"/>
      <c r="D68" s="79"/>
      <c r="E68" s="79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2:19" ht="15.6" customHeight="1">
      <c r="B69" s="35"/>
      <c r="C69" s="112"/>
      <c r="D69" s="112"/>
      <c r="E69" s="80"/>
      <c r="F69" s="60"/>
      <c r="G69" s="113"/>
      <c r="H69" s="113"/>
      <c r="I69" s="113"/>
      <c r="J69" s="113"/>
      <c r="K69" s="113"/>
      <c r="L69" s="113" t="s">
        <v>8</v>
      </c>
      <c r="M69" s="113"/>
      <c r="N69" s="113"/>
      <c r="O69" s="113"/>
      <c r="P69" s="113"/>
      <c r="Q69" s="113"/>
      <c r="R69" s="113"/>
    </row>
    <row r="70" spans="2:19">
      <c r="B70" s="36"/>
      <c r="C70" s="112"/>
      <c r="D70" s="112"/>
      <c r="E70" s="80"/>
      <c r="F70" s="60"/>
      <c r="G70" s="113"/>
      <c r="H70" s="113"/>
      <c r="I70" s="113"/>
      <c r="J70" s="113"/>
      <c r="K70" s="113"/>
      <c r="L70" s="114">
        <v>45818</v>
      </c>
      <c r="M70" s="114"/>
      <c r="N70" s="114"/>
      <c r="O70" s="114"/>
      <c r="P70" s="114"/>
      <c r="Q70" s="114"/>
      <c r="R70" s="114"/>
    </row>
    <row r="71" spans="2:19">
      <c r="B71" s="36"/>
      <c r="C71" s="112"/>
      <c r="D71" s="112"/>
      <c r="E71" s="80"/>
      <c r="F71" s="60"/>
      <c r="G71" s="115" t="s">
        <v>1180</v>
      </c>
      <c r="H71" s="115"/>
      <c r="I71" s="115"/>
      <c r="J71" s="115"/>
      <c r="K71" s="115"/>
      <c r="L71" s="113" t="s">
        <v>15</v>
      </c>
      <c r="M71" s="113"/>
      <c r="N71" s="113"/>
      <c r="O71" s="113"/>
      <c r="P71" s="113"/>
      <c r="Q71" s="113"/>
      <c r="R71" s="113"/>
    </row>
    <row r="72" spans="2:19">
      <c r="B72" s="36"/>
      <c r="C72" s="112"/>
      <c r="D72" s="112"/>
      <c r="E72" s="80"/>
      <c r="F72" s="60"/>
      <c r="G72" s="115" t="s">
        <v>14</v>
      </c>
      <c r="H72" s="115"/>
      <c r="I72" s="115"/>
      <c r="J72" s="115"/>
      <c r="K72" s="115"/>
      <c r="L72" s="113" t="s">
        <v>9</v>
      </c>
      <c r="M72" s="113"/>
      <c r="N72" s="113"/>
      <c r="O72" s="113"/>
      <c r="P72" s="113"/>
      <c r="Q72" s="113"/>
      <c r="R72" s="113"/>
    </row>
  </sheetData>
  <sheetProtection formatCells="0" formatColumns="0" formatRows="0"/>
  <mergeCells count="56">
    <mergeCell ref="C71:D71"/>
    <mergeCell ref="G71:K71"/>
    <mergeCell ref="L71:R71"/>
    <mergeCell ref="C72:D72"/>
    <mergeCell ref="G72:K72"/>
    <mergeCell ref="L72:R72"/>
    <mergeCell ref="C69:D69"/>
    <mergeCell ref="G69:K69"/>
    <mergeCell ref="L69:R69"/>
    <mergeCell ref="C70:D70"/>
    <mergeCell ref="G70:K70"/>
    <mergeCell ref="L70:R70"/>
    <mergeCell ref="B51:F51"/>
    <mergeCell ref="D65:S65"/>
    <mergeCell ref="B53:F53"/>
    <mergeCell ref="C55:S55"/>
    <mergeCell ref="D57:E57"/>
    <mergeCell ref="G57:K57"/>
    <mergeCell ref="D58:S58"/>
    <mergeCell ref="D59:S59"/>
    <mergeCell ref="D60:S60"/>
    <mergeCell ref="D61:S61"/>
    <mergeCell ref="D62:S62"/>
    <mergeCell ref="D63:S63"/>
    <mergeCell ref="D64:S64"/>
    <mergeCell ref="B52:F52"/>
    <mergeCell ref="S47:S48"/>
    <mergeCell ref="B48:E48"/>
    <mergeCell ref="B47:E47"/>
    <mergeCell ref="B49:F49"/>
    <mergeCell ref="B50:F50"/>
    <mergeCell ref="B8:F8"/>
    <mergeCell ref="W8:AG8"/>
    <mergeCell ref="B9:F9"/>
    <mergeCell ref="B10:F10"/>
    <mergeCell ref="B11:F11"/>
    <mergeCell ref="R7:S7"/>
    <mergeCell ref="C5:D5"/>
    <mergeCell ref="E5:H5"/>
    <mergeCell ref="K5:M5"/>
    <mergeCell ref="N5:R5"/>
    <mergeCell ref="C6:D6"/>
    <mergeCell ref="E6:H6"/>
    <mergeCell ref="K6:M6"/>
    <mergeCell ref="N6:R6"/>
    <mergeCell ref="B7:C7"/>
    <mergeCell ref="E7:G7"/>
    <mergeCell ref="I7:J7"/>
    <mergeCell ref="K7:L7"/>
    <mergeCell ref="M7:Q7"/>
    <mergeCell ref="B1:S1"/>
    <mergeCell ref="B2:S2"/>
    <mergeCell ref="C4:D4"/>
    <mergeCell ref="E4:H4"/>
    <mergeCell ref="K4:M4"/>
    <mergeCell ref="N4:R4"/>
  </mergeCells>
  <pageMargins left="0.59055118110236227" right="0.15748031496062992" top="0.35433070866141736" bottom="0.15748031496062992" header="0.31496062992125984" footer="0.31496062992125984"/>
  <pageSetup paperSize="9" scale="55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7"/>
  <sheetViews>
    <sheetView topLeftCell="A200" workbookViewId="0">
      <selection activeCell="A208" sqref="A208:D224"/>
    </sheetView>
  </sheetViews>
  <sheetFormatPr defaultRowHeight="14.4"/>
  <cols>
    <col min="2" max="2" width="10" customWidth="1"/>
    <col min="3" max="3" width="18.5546875" customWidth="1"/>
    <col min="4" max="4" width="23.77734375" customWidth="1"/>
    <col min="8" max="8" width="10" customWidth="1"/>
    <col min="9" max="9" width="26.109375" customWidth="1"/>
    <col min="10" max="10" width="7.21875" customWidth="1"/>
  </cols>
  <sheetData>
    <row r="1" spans="1:10">
      <c r="A1" s="67" t="s">
        <v>1</v>
      </c>
      <c r="B1" s="67" t="s">
        <v>1178</v>
      </c>
      <c r="C1" s="67" t="s">
        <v>40</v>
      </c>
      <c r="D1" s="67" t="s">
        <v>39</v>
      </c>
      <c r="F1" s="67" t="s">
        <v>1</v>
      </c>
      <c r="G1" s="67" t="s">
        <v>1177</v>
      </c>
      <c r="H1" s="67" t="s">
        <v>1178</v>
      </c>
      <c r="I1" s="67" t="s">
        <v>1179</v>
      </c>
      <c r="J1" s="67"/>
    </row>
    <row r="2" spans="1:10">
      <c r="A2" s="63">
        <v>1</v>
      </c>
      <c r="B2" s="65">
        <v>24003</v>
      </c>
      <c r="C2" s="66" t="s">
        <v>510</v>
      </c>
      <c r="D2" s="68" t="s">
        <v>765</v>
      </c>
      <c r="F2" s="63">
        <v>1</v>
      </c>
      <c r="G2" s="64" t="s">
        <v>41</v>
      </c>
      <c r="H2" s="65">
        <v>24003</v>
      </c>
      <c r="I2" s="66" t="s">
        <v>42</v>
      </c>
      <c r="J2" s="66"/>
    </row>
    <row r="3" spans="1:10">
      <c r="A3" s="63">
        <v>2</v>
      </c>
      <c r="B3" s="65">
        <v>24026</v>
      </c>
      <c r="C3" s="66" t="s">
        <v>511</v>
      </c>
      <c r="D3" s="68" t="s">
        <v>766</v>
      </c>
      <c r="F3" s="63">
        <v>2</v>
      </c>
      <c r="G3" s="64" t="s">
        <v>41</v>
      </c>
      <c r="H3" s="65">
        <v>24026</v>
      </c>
      <c r="I3" s="66" t="s">
        <v>43</v>
      </c>
      <c r="J3" s="66"/>
    </row>
    <row r="4" spans="1:10">
      <c r="A4" s="63">
        <v>3</v>
      </c>
      <c r="B4" s="65">
        <v>24036</v>
      </c>
      <c r="C4" s="66" t="s">
        <v>512</v>
      </c>
      <c r="D4" s="68" t="s">
        <v>767</v>
      </c>
      <c r="F4" s="63">
        <v>3</v>
      </c>
      <c r="G4" s="64" t="s">
        <v>41</v>
      </c>
      <c r="H4" s="65">
        <v>24036</v>
      </c>
      <c r="I4" s="66" t="s">
        <v>44</v>
      </c>
      <c r="J4" s="66"/>
    </row>
    <row r="5" spans="1:10">
      <c r="A5" s="63">
        <v>4</v>
      </c>
      <c r="B5" s="65">
        <v>24038</v>
      </c>
      <c r="C5" s="66" t="s">
        <v>513</v>
      </c>
      <c r="D5" s="68" t="s">
        <v>768</v>
      </c>
      <c r="F5" s="63">
        <v>4</v>
      </c>
      <c r="G5" s="64" t="s">
        <v>41</v>
      </c>
      <c r="H5" s="65">
        <v>24038</v>
      </c>
      <c r="I5" s="66" t="s">
        <v>45</v>
      </c>
      <c r="J5" s="66"/>
    </row>
    <row r="6" spans="1:10">
      <c r="A6" s="63">
        <v>5</v>
      </c>
      <c r="B6" s="65">
        <v>24042</v>
      </c>
      <c r="C6" s="66" t="s">
        <v>514</v>
      </c>
      <c r="D6" s="68" t="s">
        <v>769</v>
      </c>
      <c r="F6" s="63">
        <v>5</v>
      </c>
      <c r="G6" s="64" t="s">
        <v>41</v>
      </c>
      <c r="H6" s="65">
        <v>24042</v>
      </c>
      <c r="I6" s="66" t="s">
        <v>46</v>
      </c>
      <c r="J6" s="66"/>
    </row>
    <row r="7" spans="1:10">
      <c r="A7" s="63">
        <v>6</v>
      </c>
      <c r="B7" s="65">
        <v>24043</v>
      </c>
      <c r="C7" s="66" t="s">
        <v>515</v>
      </c>
      <c r="D7" s="68" t="s">
        <v>770</v>
      </c>
      <c r="F7" s="63">
        <v>6</v>
      </c>
      <c r="G7" s="64" t="s">
        <v>41</v>
      </c>
      <c r="H7" s="65">
        <v>24043</v>
      </c>
      <c r="I7" s="66" t="s">
        <v>47</v>
      </c>
      <c r="J7" s="66"/>
    </row>
    <row r="8" spans="1:10">
      <c r="A8" s="63">
        <v>7</v>
      </c>
      <c r="B8" s="65">
        <v>24044</v>
      </c>
      <c r="C8" s="66" t="s">
        <v>516</v>
      </c>
      <c r="D8" s="68" t="s">
        <v>771</v>
      </c>
      <c r="F8" s="63">
        <v>7</v>
      </c>
      <c r="G8" s="64" t="s">
        <v>41</v>
      </c>
      <c r="H8" s="65">
        <v>24044</v>
      </c>
      <c r="I8" s="66" t="s">
        <v>48</v>
      </c>
      <c r="J8" s="66"/>
    </row>
    <row r="9" spans="1:10">
      <c r="A9" s="63">
        <v>8</v>
      </c>
      <c r="B9" s="65">
        <v>24048</v>
      </c>
      <c r="C9" s="66" t="s">
        <v>517</v>
      </c>
      <c r="D9" s="68" t="s">
        <v>772</v>
      </c>
      <c r="F9" s="63">
        <v>8</v>
      </c>
      <c r="G9" s="64" t="s">
        <v>41</v>
      </c>
      <c r="H9" s="65">
        <v>24048</v>
      </c>
      <c r="I9" s="66" t="s">
        <v>49</v>
      </c>
      <c r="J9" s="66"/>
    </row>
    <row r="10" spans="1:10">
      <c r="A10" s="63">
        <v>9</v>
      </c>
      <c r="B10" s="65">
        <v>24052</v>
      </c>
      <c r="C10" s="66" t="s">
        <v>518</v>
      </c>
      <c r="D10" s="68" t="s">
        <v>773</v>
      </c>
      <c r="F10" s="63">
        <v>9</v>
      </c>
      <c r="G10" s="64" t="s">
        <v>41</v>
      </c>
      <c r="H10" s="65">
        <v>24052</v>
      </c>
      <c r="I10" s="66" t="s">
        <v>50</v>
      </c>
      <c r="J10" s="66"/>
    </row>
    <row r="11" spans="1:10">
      <c r="A11" s="63">
        <v>10</v>
      </c>
      <c r="B11" s="65">
        <v>24063</v>
      </c>
      <c r="C11" s="66" t="s">
        <v>520</v>
      </c>
      <c r="D11" s="68" t="s">
        <v>774</v>
      </c>
      <c r="F11" s="63">
        <v>10</v>
      </c>
      <c r="G11" s="64" t="s">
        <v>41</v>
      </c>
      <c r="H11" s="65">
        <v>24063</v>
      </c>
      <c r="I11" s="66" t="s">
        <v>51</v>
      </c>
      <c r="J11" s="66"/>
    </row>
    <row r="12" spans="1:10">
      <c r="A12" s="63">
        <v>11</v>
      </c>
      <c r="B12" s="65">
        <v>24064</v>
      </c>
      <c r="C12" s="66" t="s">
        <v>522</v>
      </c>
      <c r="D12" s="68" t="s">
        <v>775</v>
      </c>
      <c r="F12" s="63">
        <v>11</v>
      </c>
      <c r="G12" s="64" t="s">
        <v>41</v>
      </c>
      <c r="H12" s="65">
        <v>24064</v>
      </c>
      <c r="I12" s="66" t="s">
        <v>52</v>
      </c>
      <c r="J12" s="66"/>
    </row>
    <row r="13" spans="1:10">
      <c r="A13" s="63">
        <v>12</v>
      </c>
      <c r="B13" s="65">
        <v>24067</v>
      </c>
      <c r="C13" s="66" t="s">
        <v>523</v>
      </c>
      <c r="D13" s="68" t="s">
        <v>776</v>
      </c>
      <c r="F13" s="63">
        <v>12</v>
      </c>
      <c r="G13" s="64" t="s">
        <v>41</v>
      </c>
      <c r="H13" s="65">
        <v>24067</v>
      </c>
      <c r="I13" s="66" t="s">
        <v>53</v>
      </c>
      <c r="J13" s="66"/>
    </row>
    <row r="14" spans="1:10">
      <c r="A14" s="63">
        <v>13</v>
      </c>
      <c r="B14" s="65">
        <v>24069</v>
      </c>
      <c r="C14" s="66" t="s">
        <v>524</v>
      </c>
      <c r="D14" s="68" t="s">
        <v>777</v>
      </c>
      <c r="F14" s="63">
        <v>13</v>
      </c>
      <c r="G14" s="64" t="s">
        <v>41</v>
      </c>
      <c r="H14" s="65">
        <v>24069</v>
      </c>
      <c r="I14" s="66" t="s">
        <v>54</v>
      </c>
      <c r="J14" s="66"/>
    </row>
    <row r="15" spans="1:10">
      <c r="A15" s="63">
        <v>14</v>
      </c>
      <c r="B15" s="65">
        <v>24071</v>
      </c>
      <c r="C15" s="66" t="s">
        <v>525</v>
      </c>
      <c r="D15" s="68" t="s">
        <v>778</v>
      </c>
      <c r="F15" s="63">
        <v>14</v>
      </c>
      <c r="G15" s="64" t="s">
        <v>41</v>
      </c>
      <c r="H15" s="65">
        <v>24071</v>
      </c>
      <c r="I15" s="66" t="s">
        <v>55</v>
      </c>
      <c r="J15" s="66"/>
    </row>
    <row r="16" spans="1:10">
      <c r="A16" s="63">
        <v>15</v>
      </c>
      <c r="B16" s="65">
        <v>24072</v>
      </c>
      <c r="C16" s="66" t="s">
        <v>526</v>
      </c>
      <c r="D16" s="68" t="s">
        <v>779</v>
      </c>
      <c r="F16" s="63">
        <v>15</v>
      </c>
      <c r="G16" s="64" t="s">
        <v>41</v>
      </c>
      <c r="H16" s="65">
        <v>24072</v>
      </c>
      <c r="I16" s="66" t="s">
        <v>56</v>
      </c>
      <c r="J16" s="66"/>
    </row>
    <row r="17" spans="1:10">
      <c r="A17" s="63">
        <v>16</v>
      </c>
      <c r="B17" s="65">
        <v>24078</v>
      </c>
      <c r="C17" s="66" t="s">
        <v>527</v>
      </c>
      <c r="D17" s="68" t="s">
        <v>780</v>
      </c>
      <c r="F17" s="63">
        <v>16</v>
      </c>
      <c r="G17" s="64" t="s">
        <v>41</v>
      </c>
      <c r="H17" s="65">
        <v>24078</v>
      </c>
      <c r="I17" s="66" t="s">
        <v>57</v>
      </c>
      <c r="J17" s="66"/>
    </row>
    <row r="18" spans="1:10">
      <c r="A18" s="63">
        <v>17</v>
      </c>
      <c r="B18" s="65">
        <v>24079</v>
      </c>
      <c r="C18" s="66" t="s">
        <v>528</v>
      </c>
      <c r="D18" s="68" t="s">
        <v>781</v>
      </c>
      <c r="F18" s="63">
        <v>17</v>
      </c>
      <c r="G18" s="64" t="s">
        <v>41</v>
      </c>
      <c r="H18" s="65">
        <v>24079</v>
      </c>
      <c r="I18" s="66" t="s">
        <v>58</v>
      </c>
      <c r="J18" s="66"/>
    </row>
    <row r="19" spans="1:10">
      <c r="A19" s="63">
        <v>18</v>
      </c>
      <c r="B19" s="65">
        <v>24089</v>
      </c>
      <c r="C19" s="66" t="s">
        <v>529</v>
      </c>
      <c r="D19" s="68" t="s">
        <v>782</v>
      </c>
      <c r="F19" s="63">
        <v>18</v>
      </c>
      <c r="G19" s="64" t="s">
        <v>41</v>
      </c>
      <c r="H19" s="65">
        <v>24089</v>
      </c>
      <c r="I19" s="66" t="s">
        <v>59</v>
      </c>
      <c r="J19" s="66"/>
    </row>
    <row r="20" spans="1:10">
      <c r="A20" s="63">
        <v>19</v>
      </c>
      <c r="B20" s="65">
        <v>24090</v>
      </c>
      <c r="C20" s="66" t="s">
        <v>519</v>
      </c>
      <c r="D20" s="68" t="s">
        <v>783</v>
      </c>
      <c r="F20" s="63">
        <v>19</v>
      </c>
      <c r="G20" s="64" t="s">
        <v>41</v>
      </c>
      <c r="H20" s="65">
        <v>24090</v>
      </c>
      <c r="I20" s="66" t="s">
        <v>60</v>
      </c>
      <c r="J20" s="66"/>
    </row>
    <row r="21" spans="1:10">
      <c r="A21" s="63">
        <v>20</v>
      </c>
      <c r="B21" s="65">
        <v>24092</v>
      </c>
      <c r="C21" s="66" t="s">
        <v>530</v>
      </c>
      <c r="D21" s="68" t="s">
        <v>784</v>
      </c>
      <c r="F21" s="63">
        <v>20</v>
      </c>
      <c r="G21" s="64" t="s">
        <v>41</v>
      </c>
      <c r="H21" s="65">
        <v>24092</v>
      </c>
      <c r="I21" s="66" t="s">
        <v>61</v>
      </c>
      <c r="J21" s="66"/>
    </row>
    <row r="22" spans="1:10">
      <c r="A22" s="63">
        <v>21</v>
      </c>
      <c r="B22" s="65">
        <v>24094</v>
      </c>
      <c r="C22" s="66" t="s">
        <v>531</v>
      </c>
      <c r="D22" s="68" t="s">
        <v>785</v>
      </c>
      <c r="F22" s="63">
        <v>21</v>
      </c>
      <c r="G22" s="64" t="s">
        <v>41</v>
      </c>
      <c r="H22" s="65">
        <v>24094</v>
      </c>
      <c r="I22" s="66" t="s">
        <v>62</v>
      </c>
      <c r="J22" s="66"/>
    </row>
    <row r="23" spans="1:10">
      <c r="A23" s="63">
        <v>22</v>
      </c>
      <c r="B23" s="65">
        <v>24108</v>
      </c>
      <c r="C23" s="66" t="s">
        <v>532</v>
      </c>
      <c r="D23" s="68" t="s">
        <v>786</v>
      </c>
      <c r="F23" s="63">
        <v>22</v>
      </c>
      <c r="G23" s="64" t="s">
        <v>41</v>
      </c>
      <c r="H23" s="65">
        <v>24108</v>
      </c>
      <c r="I23" s="66" t="s">
        <v>63</v>
      </c>
      <c r="J23" s="66"/>
    </row>
    <row r="24" spans="1:10">
      <c r="A24" s="63">
        <v>23</v>
      </c>
      <c r="B24" s="65">
        <v>24119</v>
      </c>
      <c r="C24" s="66" t="s">
        <v>533</v>
      </c>
      <c r="D24" s="68" t="s">
        <v>787</v>
      </c>
      <c r="F24" s="63">
        <v>23</v>
      </c>
      <c r="G24" s="64" t="s">
        <v>41</v>
      </c>
      <c r="H24" s="65">
        <v>24119</v>
      </c>
      <c r="I24" s="66" t="s">
        <v>64</v>
      </c>
      <c r="J24" s="66"/>
    </row>
    <row r="25" spans="1:10">
      <c r="A25" s="63">
        <v>24</v>
      </c>
      <c r="B25" s="65">
        <v>24136</v>
      </c>
      <c r="C25" s="66" t="s">
        <v>534</v>
      </c>
      <c r="D25" s="68" t="s">
        <v>788</v>
      </c>
      <c r="F25" s="63">
        <v>24</v>
      </c>
      <c r="G25" s="64" t="s">
        <v>41</v>
      </c>
      <c r="H25" s="65">
        <v>24136</v>
      </c>
      <c r="I25" s="66" t="s">
        <v>65</v>
      </c>
      <c r="J25" s="66"/>
    </row>
    <row r="26" spans="1:10">
      <c r="A26" s="63">
        <v>25</v>
      </c>
      <c r="B26" s="65">
        <v>24140</v>
      </c>
      <c r="C26" s="66" t="s">
        <v>535</v>
      </c>
      <c r="D26" s="68" t="s">
        <v>789</v>
      </c>
      <c r="F26" s="63">
        <v>25</v>
      </c>
      <c r="G26" s="64" t="s">
        <v>41</v>
      </c>
      <c r="H26" s="65">
        <v>24140</v>
      </c>
      <c r="I26" s="66" t="s">
        <v>66</v>
      </c>
      <c r="J26" s="66"/>
    </row>
    <row r="27" spans="1:10">
      <c r="A27" s="63">
        <v>26</v>
      </c>
      <c r="B27" s="65">
        <v>24147</v>
      </c>
      <c r="C27" s="66" t="s">
        <v>536</v>
      </c>
      <c r="D27" s="68" t="s">
        <v>790</v>
      </c>
      <c r="F27" s="63">
        <v>26</v>
      </c>
      <c r="G27" s="64" t="s">
        <v>41</v>
      </c>
      <c r="H27" s="65">
        <v>24147</v>
      </c>
      <c r="I27" s="66" t="s">
        <v>67</v>
      </c>
      <c r="J27" s="66"/>
    </row>
    <row r="28" spans="1:10">
      <c r="A28" s="63">
        <v>27</v>
      </c>
      <c r="B28" s="65">
        <v>24161</v>
      </c>
      <c r="C28" s="66" t="s">
        <v>537</v>
      </c>
      <c r="D28" s="68" t="s">
        <v>791</v>
      </c>
      <c r="F28" s="63">
        <v>27</v>
      </c>
      <c r="G28" s="64" t="s">
        <v>41</v>
      </c>
      <c r="H28" s="65">
        <v>24161</v>
      </c>
      <c r="I28" s="66" t="s">
        <v>68</v>
      </c>
      <c r="J28" s="66"/>
    </row>
    <row r="29" spans="1:10">
      <c r="A29" s="63">
        <v>28</v>
      </c>
      <c r="B29" s="65">
        <v>24165</v>
      </c>
      <c r="C29" s="66" t="s">
        <v>538</v>
      </c>
      <c r="D29" s="68" t="s">
        <v>792</v>
      </c>
      <c r="F29" s="63">
        <v>28</v>
      </c>
      <c r="G29" s="64" t="s">
        <v>41</v>
      </c>
      <c r="H29" s="65">
        <v>24165</v>
      </c>
      <c r="I29" s="66" t="s">
        <v>69</v>
      </c>
      <c r="J29" s="66"/>
    </row>
    <row r="30" spans="1:10">
      <c r="A30" s="63">
        <v>29</v>
      </c>
      <c r="B30" s="65">
        <v>24190</v>
      </c>
      <c r="C30" s="66" t="s">
        <v>523</v>
      </c>
      <c r="D30" s="68" t="s">
        <v>793</v>
      </c>
      <c r="F30" s="63">
        <v>29</v>
      </c>
      <c r="G30" s="64" t="s">
        <v>41</v>
      </c>
      <c r="H30" s="65">
        <v>24190</v>
      </c>
      <c r="I30" s="66" t="s">
        <v>70</v>
      </c>
      <c r="J30" s="66"/>
    </row>
    <row r="31" spans="1:10">
      <c r="A31" s="63">
        <v>30</v>
      </c>
      <c r="B31" s="65">
        <v>24202</v>
      </c>
      <c r="C31" s="66" t="s">
        <v>539</v>
      </c>
      <c r="D31" s="68" t="s">
        <v>794</v>
      </c>
      <c r="F31" s="63">
        <v>30</v>
      </c>
      <c r="G31" s="64" t="s">
        <v>41</v>
      </c>
      <c r="H31" s="65">
        <v>24202</v>
      </c>
      <c r="I31" s="66" t="s">
        <v>71</v>
      </c>
      <c r="J31" s="66"/>
    </row>
    <row r="32" spans="1:10">
      <c r="A32" s="63">
        <v>31</v>
      </c>
      <c r="B32" s="65">
        <v>24239</v>
      </c>
      <c r="C32" s="66" t="s">
        <v>541</v>
      </c>
      <c r="D32" s="68" t="s">
        <v>795</v>
      </c>
      <c r="F32" s="63">
        <v>31</v>
      </c>
      <c r="G32" s="64" t="s">
        <v>41</v>
      </c>
      <c r="H32" s="65">
        <v>24239</v>
      </c>
      <c r="I32" s="66" t="s">
        <v>72</v>
      </c>
      <c r="J32" s="66"/>
    </row>
    <row r="33" spans="1:10">
      <c r="A33" s="63">
        <v>32</v>
      </c>
      <c r="B33" s="65">
        <v>24248</v>
      </c>
      <c r="C33" s="66" t="s">
        <v>535</v>
      </c>
      <c r="D33" s="68" t="s">
        <v>796</v>
      </c>
      <c r="F33" s="63">
        <v>32</v>
      </c>
      <c r="G33" s="64" t="s">
        <v>41</v>
      </c>
      <c r="H33" s="65">
        <v>24248</v>
      </c>
      <c r="I33" s="66" t="s">
        <v>73</v>
      </c>
      <c r="J33" s="66"/>
    </row>
    <row r="34" spans="1:10">
      <c r="A34" s="63">
        <v>33</v>
      </c>
      <c r="B34" s="65">
        <v>24268</v>
      </c>
      <c r="C34" s="66" t="s">
        <v>535</v>
      </c>
      <c r="D34" s="68" t="s">
        <v>797</v>
      </c>
      <c r="F34" s="63">
        <v>33</v>
      </c>
      <c r="G34" s="64" t="s">
        <v>41</v>
      </c>
      <c r="H34" s="65">
        <v>24268</v>
      </c>
      <c r="I34" s="66" t="s">
        <v>74</v>
      </c>
      <c r="J34" s="66"/>
    </row>
    <row r="35" spans="1:10">
      <c r="A35" s="63">
        <v>34</v>
      </c>
      <c r="B35" s="65">
        <v>90001</v>
      </c>
      <c r="C35" s="66" t="s">
        <v>544</v>
      </c>
      <c r="D35" s="68" t="s">
        <v>798</v>
      </c>
      <c r="F35" s="63">
        <v>34</v>
      </c>
      <c r="G35" s="64" t="s">
        <v>41</v>
      </c>
      <c r="H35" s="65">
        <v>90001</v>
      </c>
      <c r="I35" s="66" t="s">
        <v>75</v>
      </c>
      <c r="J35" s="66"/>
    </row>
    <row r="36" spans="1:10">
      <c r="A36" s="63">
        <v>35</v>
      </c>
      <c r="B36" s="65">
        <v>90002</v>
      </c>
      <c r="C36" s="66" t="s">
        <v>545</v>
      </c>
      <c r="D36" s="68" t="s">
        <v>799</v>
      </c>
      <c r="F36" s="63">
        <v>35</v>
      </c>
      <c r="G36" s="64" t="s">
        <v>41</v>
      </c>
      <c r="H36" s="65">
        <v>90002</v>
      </c>
      <c r="I36" s="66" t="s">
        <v>76</v>
      </c>
      <c r="J36" s="66"/>
    </row>
    <row r="37" spans="1:10">
      <c r="A37" s="63">
        <v>1</v>
      </c>
      <c r="B37" s="65">
        <v>24005</v>
      </c>
      <c r="C37" s="66" t="s">
        <v>546</v>
      </c>
      <c r="D37" s="68" t="s">
        <v>800</v>
      </c>
      <c r="F37" s="63">
        <v>1</v>
      </c>
      <c r="G37" s="64" t="s">
        <v>22</v>
      </c>
      <c r="H37" s="65">
        <v>24005</v>
      </c>
      <c r="I37" s="66" t="s">
        <v>77</v>
      </c>
      <c r="J37" s="66"/>
    </row>
    <row r="38" spans="1:10">
      <c r="A38" s="63">
        <v>2</v>
      </c>
      <c r="B38" s="65">
        <v>24014</v>
      </c>
      <c r="C38" s="66" t="s">
        <v>547</v>
      </c>
      <c r="D38" s="68" t="s">
        <v>801</v>
      </c>
      <c r="F38" s="63">
        <v>2</v>
      </c>
      <c r="G38" s="64" t="s">
        <v>22</v>
      </c>
      <c r="H38" s="65">
        <v>24014</v>
      </c>
      <c r="I38" s="66" t="s">
        <v>78</v>
      </c>
      <c r="J38" s="66"/>
    </row>
    <row r="39" spans="1:10">
      <c r="A39" s="63">
        <v>3</v>
      </c>
      <c r="B39" s="65">
        <v>24015</v>
      </c>
      <c r="C39" s="66" t="s">
        <v>548</v>
      </c>
      <c r="D39" s="68" t="s">
        <v>802</v>
      </c>
      <c r="F39" s="63">
        <v>3</v>
      </c>
      <c r="G39" s="64" t="s">
        <v>22</v>
      </c>
      <c r="H39" s="65">
        <v>24015</v>
      </c>
      <c r="I39" s="66" t="s">
        <v>79</v>
      </c>
      <c r="J39" s="66"/>
    </row>
    <row r="40" spans="1:10">
      <c r="A40" s="63">
        <v>4</v>
      </c>
      <c r="B40" s="65">
        <v>24022</v>
      </c>
      <c r="C40" s="66" t="s">
        <v>523</v>
      </c>
      <c r="D40" s="68" t="s">
        <v>803</v>
      </c>
      <c r="F40" s="63">
        <v>4</v>
      </c>
      <c r="G40" s="64" t="s">
        <v>22</v>
      </c>
      <c r="H40" s="65">
        <v>24022</v>
      </c>
      <c r="I40" s="66" t="s">
        <v>80</v>
      </c>
      <c r="J40" s="66"/>
    </row>
    <row r="41" spans="1:10">
      <c r="A41" s="63">
        <v>5</v>
      </c>
      <c r="B41" s="65">
        <v>24047</v>
      </c>
      <c r="C41" s="66" t="s">
        <v>550</v>
      </c>
      <c r="D41" s="68" t="s">
        <v>804</v>
      </c>
      <c r="F41" s="63">
        <v>5</v>
      </c>
      <c r="G41" s="64" t="s">
        <v>22</v>
      </c>
      <c r="H41" s="65">
        <v>24047</v>
      </c>
      <c r="I41" s="66" t="s">
        <v>81</v>
      </c>
      <c r="J41" s="66"/>
    </row>
    <row r="42" spans="1:10">
      <c r="A42" s="63">
        <v>6</v>
      </c>
      <c r="B42" s="65">
        <v>24062</v>
      </c>
      <c r="C42" s="66" t="s">
        <v>551</v>
      </c>
      <c r="D42" s="68" t="s">
        <v>783</v>
      </c>
      <c r="F42" s="63">
        <v>6</v>
      </c>
      <c r="G42" s="64" t="s">
        <v>22</v>
      </c>
      <c r="H42" s="65">
        <v>24062</v>
      </c>
      <c r="I42" s="66" t="s">
        <v>82</v>
      </c>
      <c r="J42" s="66"/>
    </row>
    <row r="43" spans="1:10">
      <c r="A43" s="63">
        <v>7</v>
      </c>
      <c r="B43" s="65">
        <v>24099</v>
      </c>
      <c r="C43" s="66" t="s">
        <v>552</v>
      </c>
      <c r="D43" s="68" t="s">
        <v>805</v>
      </c>
      <c r="F43" s="63">
        <v>7</v>
      </c>
      <c r="G43" s="64" t="s">
        <v>22</v>
      </c>
      <c r="H43" s="65">
        <v>24099</v>
      </c>
      <c r="I43" s="66" t="s">
        <v>83</v>
      </c>
      <c r="J43" s="66"/>
    </row>
    <row r="44" spans="1:10">
      <c r="A44" s="63">
        <v>8</v>
      </c>
      <c r="B44" s="65">
        <v>24109</v>
      </c>
      <c r="C44" s="66" t="s">
        <v>553</v>
      </c>
      <c r="D44" s="68" t="s">
        <v>806</v>
      </c>
      <c r="F44" s="63">
        <v>8</v>
      </c>
      <c r="G44" s="64" t="s">
        <v>22</v>
      </c>
      <c r="H44" s="65">
        <v>24109</v>
      </c>
      <c r="I44" s="66" t="s">
        <v>84</v>
      </c>
      <c r="J44" s="66"/>
    </row>
    <row r="45" spans="1:10">
      <c r="A45" s="63">
        <v>9</v>
      </c>
      <c r="B45" s="65">
        <v>24129</v>
      </c>
      <c r="C45" s="66" t="s">
        <v>554</v>
      </c>
      <c r="D45" s="68" t="s">
        <v>807</v>
      </c>
      <c r="F45" s="63">
        <v>9</v>
      </c>
      <c r="G45" s="64" t="s">
        <v>22</v>
      </c>
      <c r="H45" s="65">
        <v>24129</v>
      </c>
      <c r="I45" s="66" t="s">
        <v>85</v>
      </c>
      <c r="J45" s="66"/>
    </row>
    <row r="46" spans="1:10">
      <c r="A46" s="63">
        <v>10</v>
      </c>
      <c r="B46" s="65">
        <v>24151</v>
      </c>
      <c r="C46" s="66" t="s">
        <v>555</v>
      </c>
      <c r="D46" s="68" t="s">
        <v>775</v>
      </c>
      <c r="F46" s="63">
        <v>10</v>
      </c>
      <c r="G46" s="64" t="s">
        <v>22</v>
      </c>
      <c r="H46" s="65">
        <v>24151</v>
      </c>
      <c r="I46" s="66" t="s">
        <v>86</v>
      </c>
      <c r="J46" s="66"/>
    </row>
    <row r="47" spans="1:10">
      <c r="A47" s="63">
        <v>11</v>
      </c>
      <c r="B47" s="65">
        <v>24152</v>
      </c>
      <c r="C47" s="66" t="s">
        <v>545</v>
      </c>
      <c r="D47" s="68" t="s">
        <v>808</v>
      </c>
      <c r="F47" s="63">
        <v>11</v>
      </c>
      <c r="G47" s="64" t="s">
        <v>22</v>
      </c>
      <c r="H47" s="65">
        <v>24152</v>
      </c>
      <c r="I47" s="66" t="s">
        <v>87</v>
      </c>
      <c r="J47" s="66"/>
    </row>
    <row r="48" spans="1:10">
      <c r="A48" s="63">
        <v>12</v>
      </c>
      <c r="B48" s="65">
        <v>24153</v>
      </c>
      <c r="C48" s="66" t="s">
        <v>545</v>
      </c>
      <c r="D48" s="68" t="s">
        <v>809</v>
      </c>
      <c r="F48" s="63">
        <v>12</v>
      </c>
      <c r="G48" s="64" t="s">
        <v>22</v>
      </c>
      <c r="H48" s="65">
        <v>24153</v>
      </c>
      <c r="I48" s="66" t="s">
        <v>88</v>
      </c>
      <c r="J48" s="66"/>
    </row>
    <row r="49" spans="1:10">
      <c r="A49" s="63">
        <v>13</v>
      </c>
      <c r="B49" s="65">
        <v>24155</v>
      </c>
      <c r="C49" s="66" t="s">
        <v>556</v>
      </c>
      <c r="D49" s="68" t="s">
        <v>810</v>
      </c>
      <c r="F49" s="63">
        <v>13</v>
      </c>
      <c r="G49" s="64" t="s">
        <v>22</v>
      </c>
      <c r="H49" s="65">
        <v>24155</v>
      </c>
      <c r="I49" s="66" t="s">
        <v>89</v>
      </c>
      <c r="J49" s="66"/>
    </row>
    <row r="50" spans="1:10">
      <c r="A50" s="63">
        <v>14</v>
      </c>
      <c r="B50" s="65">
        <v>24174</v>
      </c>
      <c r="C50" s="66" t="s">
        <v>557</v>
      </c>
      <c r="D50" s="68" t="s">
        <v>811</v>
      </c>
      <c r="F50" s="63">
        <v>14</v>
      </c>
      <c r="G50" s="64" t="s">
        <v>22</v>
      </c>
      <c r="H50" s="65">
        <v>24174</v>
      </c>
      <c r="I50" s="66" t="s">
        <v>90</v>
      </c>
      <c r="J50" s="66"/>
    </row>
    <row r="51" spans="1:10">
      <c r="A51" s="63">
        <v>15</v>
      </c>
      <c r="B51" s="65">
        <v>24180</v>
      </c>
      <c r="C51" s="66" t="s">
        <v>558</v>
      </c>
      <c r="D51" s="68" t="s">
        <v>812</v>
      </c>
      <c r="F51" s="63">
        <v>15</v>
      </c>
      <c r="G51" s="64" t="s">
        <v>22</v>
      </c>
      <c r="H51" s="65">
        <v>24180</v>
      </c>
      <c r="I51" s="66" t="s">
        <v>91</v>
      </c>
      <c r="J51" s="66"/>
    </row>
    <row r="52" spans="1:10">
      <c r="A52" s="63">
        <v>16</v>
      </c>
      <c r="B52" s="65">
        <v>24191</v>
      </c>
      <c r="C52" s="66" t="s">
        <v>559</v>
      </c>
      <c r="D52" s="68" t="s">
        <v>813</v>
      </c>
      <c r="F52" s="63">
        <v>16</v>
      </c>
      <c r="G52" s="64" t="s">
        <v>22</v>
      </c>
      <c r="H52" s="65">
        <v>24191</v>
      </c>
      <c r="I52" s="66" t="s">
        <v>92</v>
      </c>
      <c r="J52" s="66"/>
    </row>
    <row r="53" spans="1:10">
      <c r="A53" s="63">
        <v>17</v>
      </c>
      <c r="B53" s="65">
        <v>24210</v>
      </c>
      <c r="C53" s="66" t="s">
        <v>538</v>
      </c>
      <c r="D53" s="68" t="s">
        <v>814</v>
      </c>
      <c r="F53" s="63">
        <v>17</v>
      </c>
      <c r="G53" s="64" t="s">
        <v>22</v>
      </c>
      <c r="H53" s="65">
        <v>24210</v>
      </c>
      <c r="I53" s="66" t="s">
        <v>93</v>
      </c>
      <c r="J53" s="66"/>
    </row>
    <row r="54" spans="1:10">
      <c r="A54" s="63">
        <v>18</v>
      </c>
      <c r="B54" s="65">
        <v>24216</v>
      </c>
      <c r="C54" s="66" t="s">
        <v>533</v>
      </c>
      <c r="D54" s="68" t="s">
        <v>815</v>
      </c>
      <c r="F54" s="63">
        <v>18</v>
      </c>
      <c r="G54" s="64" t="s">
        <v>22</v>
      </c>
      <c r="H54" s="65">
        <v>24216</v>
      </c>
      <c r="I54" s="66" t="s">
        <v>94</v>
      </c>
      <c r="J54" s="66"/>
    </row>
    <row r="55" spans="1:10">
      <c r="A55" s="63">
        <v>19</v>
      </c>
      <c r="B55" s="65">
        <v>24223</v>
      </c>
      <c r="C55" s="66" t="s">
        <v>541</v>
      </c>
      <c r="D55" s="68" t="s">
        <v>816</v>
      </c>
      <c r="F55" s="63">
        <v>19</v>
      </c>
      <c r="G55" s="64" t="s">
        <v>22</v>
      </c>
      <c r="H55" s="65">
        <v>24223</v>
      </c>
      <c r="I55" s="66" t="s">
        <v>95</v>
      </c>
      <c r="J55" s="66"/>
    </row>
    <row r="56" spans="1:10">
      <c r="A56" s="63">
        <v>20</v>
      </c>
      <c r="B56" s="65">
        <v>90004</v>
      </c>
      <c r="C56" s="66" t="s">
        <v>535</v>
      </c>
      <c r="D56" s="68" t="s">
        <v>817</v>
      </c>
      <c r="F56" s="63">
        <v>20</v>
      </c>
      <c r="G56" s="64" t="s">
        <v>22</v>
      </c>
      <c r="H56" s="65">
        <v>90004</v>
      </c>
      <c r="I56" s="66" t="s">
        <v>96</v>
      </c>
      <c r="J56" s="66"/>
    </row>
    <row r="57" spans="1:10">
      <c r="A57" s="63">
        <v>21</v>
      </c>
      <c r="B57" s="65">
        <v>90005</v>
      </c>
      <c r="C57" s="66" t="s">
        <v>561</v>
      </c>
      <c r="D57" s="68" t="s">
        <v>818</v>
      </c>
      <c r="F57" s="63">
        <v>21</v>
      </c>
      <c r="G57" s="64" t="s">
        <v>22</v>
      </c>
      <c r="H57" s="65">
        <v>90005</v>
      </c>
      <c r="I57" s="66" t="s">
        <v>97</v>
      </c>
      <c r="J57" s="66"/>
    </row>
    <row r="58" spans="1:10">
      <c r="A58" s="63">
        <v>22</v>
      </c>
      <c r="B58" s="65">
        <v>90006</v>
      </c>
      <c r="C58" s="66" t="s">
        <v>562</v>
      </c>
      <c r="D58" s="68" t="s">
        <v>819</v>
      </c>
      <c r="F58" s="63">
        <v>22</v>
      </c>
      <c r="G58" s="64" t="s">
        <v>22</v>
      </c>
      <c r="H58" s="65">
        <v>90006</v>
      </c>
      <c r="I58" s="66" t="s">
        <v>98</v>
      </c>
      <c r="J58" s="66"/>
    </row>
    <row r="59" spans="1:10">
      <c r="A59" s="63">
        <v>23</v>
      </c>
      <c r="B59" s="65">
        <v>90007</v>
      </c>
      <c r="C59" s="66" t="s">
        <v>563</v>
      </c>
      <c r="D59" s="68" t="s">
        <v>820</v>
      </c>
      <c r="F59" s="63">
        <v>23</v>
      </c>
      <c r="G59" s="64" t="s">
        <v>22</v>
      </c>
      <c r="H59" s="65">
        <v>90007</v>
      </c>
      <c r="I59" s="66" t="s">
        <v>99</v>
      </c>
      <c r="J59" s="66"/>
    </row>
    <row r="60" spans="1:10">
      <c r="A60" s="63">
        <v>24</v>
      </c>
      <c r="B60" s="65">
        <v>90008</v>
      </c>
      <c r="C60" s="66" t="s">
        <v>564</v>
      </c>
      <c r="D60" s="68" t="s">
        <v>821</v>
      </c>
      <c r="F60" s="63">
        <v>24</v>
      </c>
      <c r="G60" s="64" t="s">
        <v>22</v>
      </c>
      <c r="H60" s="65">
        <v>90008</v>
      </c>
      <c r="I60" s="66" t="s">
        <v>100</v>
      </c>
      <c r="J60" s="66"/>
    </row>
    <row r="61" spans="1:10">
      <c r="A61" s="63">
        <v>25</v>
      </c>
      <c r="B61" s="65">
        <v>90009</v>
      </c>
      <c r="C61" s="66" t="s">
        <v>566</v>
      </c>
      <c r="D61" s="68" t="s">
        <v>822</v>
      </c>
      <c r="F61" s="63">
        <v>25</v>
      </c>
      <c r="G61" s="64" t="s">
        <v>22</v>
      </c>
      <c r="H61" s="65">
        <v>90009</v>
      </c>
      <c r="I61" s="66" t="s">
        <v>101</v>
      </c>
      <c r="J61" s="66"/>
    </row>
    <row r="62" spans="1:10">
      <c r="A62" s="63">
        <v>1</v>
      </c>
      <c r="B62" s="65">
        <v>24009</v>
      </c>
      <c r="C62" s="66" t="s">
        <v>516</v>
      </c>
      <c r="D62" s="68" t="s">
        <v>823</v>
      </c>
      <c r="F62" s="63">
        <v>1</v>
      </c>
      <c r="G62" s="64" t="s">
        <v>102</v>
      </c>
      <c r="H62" s="65">
        <v>24009</v>
      </c>
      <c r="I62" s="66" t="s">
        <v>103</v>
      </c>
      <c r="J62" s="66"/>
    </row>
    <row r="63" spans="1:10">
      <c r="A63" s="63">
        <v>2</v>
      </c>
      <c r="B63" s="65">
        <v>24025</v>
      </c>
      <c r="C63" s="66" t="s">
        <v>567</v>
      </c>
      <c r="D63" s="68" t="s">
        <v>824</v>
      </c>
      <c r="F63" s="63">
        <v>2</v>
      </c>
      <c r="G63" s="64" t="s">
        <v>102</v>
      </c>
      <c r="H63" s="65">
        <v>24025</v>
      </c>
      <c r="I63" s="66" t="s">
        <v>104</v>
      </c>
      <c r="J63" s="66"/>
    </row>
    <row r="64" spans="1:10">
      <c r="A64" s="63">
        <v>3</v>
      </c>
      <c r="B64" s="65">
        <v>24045</v>
      </c>
      <c r="C64" s="66" t="s">
        <v>568</v>
      </c>
      <c r="D64" s="68" t="s">
        <v>825</v>
      </c>
      <c r="F64" s="63">
        <v>3</v>
      </c>
      <c r="G64" s="64" t="s">
        <v>102</v>
      </c>
      <c r="H64" s="65">
        <v>24045</v>
      </c>
      <c r="I64" s="66" t="s">
        <v>105</v>
      </c>
      <c r="J64" s="66"/>
    </row>
    <row r="65" spans="1:10">
      <c r="A65" s="63">
        <v>4</v>
      </c>
      <c r="B65" s="65">
        <v>24081</v>
      </c>
      <c r="C65" s="66" t="s">
        <v>531</v>
      </c>
      <c r="D65" s="68" t="s">
        <v>826</v>
      </c>
      <c r="F65" s="63">
        <v>4</v>
      </c>
      <c r="G65" s="64" t="s">
        <v>102</v>
      </c>
      <c r="H65" s="65">
        <v>24081</v>
      </c>
      <c r="I65" s="66" t="s">
        <v>106</v>
      </c>
      <c r="J65" s="66"/>
    </row>
    <row r="66" spans="1:10">
      <c r="A66" s="63">
        <v>5</v>
      </c>
      <c r="B66" s="65">
        <v>24095</v>
      </c>
      <c r="C66" s="66" t="s">
        <v>569</v>
      </c>
      <c r="D66" s="68" t="s">
        <v>827</v>
      </c>
      <c r="F66" s="63">
        <v>5</v>
      </c>
      <c r="G66" s="64" t="s">
        <v>102</v>
      </c>
      <c r="H66" s="65">
        <v>24095</v>
      </c>
      <c r="I66" s="66" t="s">
        <v>107</v>
      </c>
      <c r="J66" s="66"/>
    </row>
    <row r="67" spans="1:10">
      <c r="A67" s="63">
        <v>6</v>
      </c>
      <c r="B67" s="65">
        <v>24134</v>
      </c>
      <c r="C67" s="66" t="s">
        <v>515</v>
      </c>
      <c r="D67" s="68" t="s">
        <v>828</v>
      </c>
      <c r="F67" s="63">
        <v>6</v>
      </c>
      <c r="G67" s="64" t="s">
        <v>102</v>
      </c>
      <c r="H67" s="65">
        <v>24134</v>
      </c>
      <c r="I67" s="66" t="s">
        <v>108</v>
      </c>
      <c r="J67" s="66"/>
    </row>
    <row r="68" spans="1:10">
      <c r="A68" s="63">
        <v>7</v>
      </c>
      <c r="B68" s="65">
        <v>24141</v>
      </c>
      <c r="C68" s="66" t="s">
        <v>570</v>
      </c>
      <c r="D68" s="68" t="s">
        <v>829</v>
      </c>
      <c r="F68" s="63">
        <v>7</v>
      </c>
      <c r="G68" s="64" t="s">
        <v>102</v>
      </c>
      <c r="H68" s="65">
        <v>24141</v>
      </c>
      <c r="I68" s="66" t="s">
        <v>109</v>
      </c>
      <c r="J68" s="66"/>
    </row>
    <row r="69" spans="1:10">
      <c r="A69" s="63">
        <v>8</v>
      </c>
      <c r="B69" s="65">
        <v>24144</v>
      </c>
      <c r="C69" s="66" t="s">
        <v>521</v>
      </c>
      <c r="D69" s="68" t="s">
        <v>830</v>
      </c>
      <c r="F69" s="63">
        <v>8</v>
      </c>
      <c r="G69" s="64" t="s">
        <v>102</v>
      </c>
      <c r="H69" s="65">
        <v>24144</v>
      </c>
      <c r="I69" s="66" t="s">
        <v>110</v>
      </c>
      <c r="J69" s="66"/>
    </row>
    <row r="70" spans="1:10">
      <c r="A70" s="63">
        <v>9</v>
      </c>
      <c r="B70" s="65">
        <v>24158</v>
      </c>
      <c r="C70" s="66" t="s">
        <v>572</v>
      </c>
      <c r="D70" s="68" t="s">
        <v>831</v>
      </c>
      <c r="F70" s="63">
        <v>9</v>
      </c>
      <c r="G70" s="64" t="s">
        <v>102</v>
      </c>
      <c r="H70" s="65">
        <v>24158</v>
      </c>
      <c r="I70" s="66" t="s">
        <v>111</v>
      </c>
      <c r="J70" s="66"/>
    </row>
    <row r="71" spans="1:10">
      <c r="A71" s="63">
        <v>10</v>
      </c>
      <c r="B71" s="65">
        <v>24167</v>
      </c>
      <c r="C71" s="66" t="s">
        <v>535</v>
      </c>
      <c r="D71" s="68" t="s">
        <v>832</v>
      </c>
      <c r="F71" s="63">
        <v>10</v>
      </c>
      <c r="G71" s="64" t="s">
        <v>102</v>
      </c>
      <c r="H71" s="65">
        <v>24167</v>
      </c>
      <c r="I71" s="66" t="s">
        <v>112</v>
      </c>
      <c r="J71" s="66"/>
    </row>
    <row r="72" spans="1:10">
      <c r="A72" s="63">
        <v>11</v>
      </c>
      <c r="B72" s="65">
        <v>24189</v>
      </c>
      <c r="C72" s="66" t="s">
        <v>573</v>
      </c>
      <c r="D72" s="68" t="s">
        <v>833</v>
      </c>
      <c r="F72" s="63">
        <v>11</v>
      </c>
      <c r="G72" s="64" t="s">
        <v>102</v>
      </c>
      <c r="H72" s="65">
        <v>24189</v>
      </c>
      <c r="I72" s="66" t="s">
        <v>113</v>
      </c>
      <c r="J72" s="66"/>
    </row>
    <row r="73" spans="1:10">
      <c r="A73" s="63">
        <v>12</v>
      </c>
      <c r="B73" s="65">
        <v>24192</v>
      </c>
      <c r="C73" s="66" t="s">
        <v>574</v>
      </c>
      <c r="D73" s="68" t="s">
        <v>834</v>
      </c>
      <c r="F73" s="63">
        <v>12</v>
      </c>
      <c r="G73" s="64" t="s">
        <v>102</v>
      </c>
      <c r="H73" s="65">
        <v>24192</v>
      </c>
      <c r="I73" s="66" t="s">
        <v>114</v>
      </c>
      <c r="J73" s="66"/>
    </row>
    <row r="74" spans="1:10">
      <c r="A74" s="63">
        <v>13</v>
      </c>
      <c r="B74" s="65">
        <v>24195</v>
      </c>
      <c r="C74" s="66" t="s">
        <v>575</v>
      </c>
      <c r="D74" s="68" t="s">
        <v>835</v>
      </c>
      <c r="F74" s="63">
        <v>13</v>
      </c>
      <c r="G74" s="64" t="s">
        <v>102</v>
      </c>
      <c r="H74" s="65">
        <v>24195</v>
      </c>
      <c r="I74" s="66" t="s">
        <v>115</v>
      </c>
      <c r="J74" s="66"/>
    </row>
    <row r="75" spans="1:10">
      <c r="A75" s="63">
        <v>14</v>
      </c>
      <c r="B75" s="65">
        <v>24197</v>
      </c>
      <c r="C75" s="66" t="s">
        <v>518</v>
      </c>
      <c r="D75" s="68" t="s">
        <v>836</v>
      </c>
      <c r="F75" s="63">
        <v>14</v>
      </c>
      <c r="G75" s="64" t="s">
        <v>102</v>
      </c>
      <c r="H75" s="65">
        <v>24197</v>
      </c>
      <c r="I75" s="66" t="s">
        <v>116</v>
      </c>
      <c r="J75" s="66"/>
    </row>
    <row r="76" spans="1:10">
      <c r="A76" s="63">
        <v>15</v>
      </c>
      <c r="B76" s="65">
        <v>24199</v>
      </c>
      <c r="C76" s="66" t="s">
        <v>578</v>
      </c>
      <c r="D76" s="68" t="s">
        <v>837</v>
      </c>
      <c r="F76" s="63">
        <v>15</v>
      </c>
      <c r="G76" s="64" t="s">
        <v>102</v>
      </c>
      <c r="H76" s="65">
        <v>24199</v>
      </c>
      <c r="I76" s="66" t="s">
        <v>117</v>
      </c>
      <c r="J76" s="66"/>
    </row>
    <row r="77" spans="1:10">
      <c r="A77" s="63">
        <v>16</v>
      </c>
      <c r="B77" s="65">
        <v>24203</v>
      </c>
      <c r="C77" s="66" t="s">
        <v>579</v>
      </c>
      <c r="D77" s="68" t="s">
        <v>838</v>
      </c>
      <c r="F77" s="63">
        <v>16</v>
      </c>
      <c r="G77" s="64" t="s">
        <v>102</v>
      </c>
      <c r="H77" s="65">
        <v>24203</v>
      </c>
      <c r="I77" s="66" t="s">
        <v>118</v>
      </c>
      <c r="J77" s="66"/>
    </row>
    <row r="78" spans="1:10">
      <c r="A78" s="63">
        <v>17</v>
      </c>
      <c r="B78" s="65">
        <v>24208</v>
      </c>
      <c r="C78" s="66" t="s">
        <v>580</v>
      </c>
      <c r="D78" s="68" t="s">
        <v>839</v>
      </c>
      <c r="F78" s="63">
        <v>17</v>
      </c>
      <c r="G78" s="64" t="s">
        <v>102</v>
      </c>
      <c r="H78" s="65">
        <v>24208</v>
      </c>
      <c r="I78" s="66" t="s">
        <v>119</v>
      </c>
      <c r="J78" s="66"/>
    </row>
    <row r="79" spans="1:10">
      <c r="A79" s="63">
        <v>18</v>
      </c>
      <c r="B79" s="65">
        <v>24215</v>
      </c>
      <c r="C79" s="66" t="s">
        <v>581</v>
      </c>
      <c r="D79" s="68" t="s">
        <v>840</v>
      </c>
      <c r="F79" s="63">
        <v>18</v>
      </c>
      <c r="G79" s="64" t="s">
        <v>102</v>
      </c>
      <c r="H79" s="65">
        <v>24215</v>
      </c>
      <c r="I79" s="66" t="s">
        <v>120</v>
      </c>
      <c r="J79" s="66"/>
    </row>
    <row r="80" spans="1:10">
      <c r="A80" s="63">
        <v>19</v>
      </c>
      <c r="B80" s="65">
        <v>24219</v>
      </c>
      <c r="C80" s="66" t="s">
        <v>518</v>
      </c>
      <c r="D80" s="68" t="s">
        <v>841</v>
      </c>
      <c r="F80" s="63">
        <v>19</v>
      </c>
      <c r="G80" s="64" t="s">
        <v>102</v>
      </c>
      <c r="H80" s="65">
        <v>24219</v>
      </c>
      <c r="I80" s="66" t="s">
        <v>121</v>
      </c>
      <c r="J80" s="66"/>
    </row>
    <row r="81" spans="1:10">
      <c r="A81" s="63">
        <v>20</v>
      </c>
      <c r="B81" s="65">
        <v>24228</v>
      </c>
      <c r="C81" s="66" t="s">
        <v>583</v>
      </c>
      <c r="D81" s="68" t="s">
        <v>842</v>
      </c>
      <c r="F81" s="63">
        <v>20</v>
      </c>
      <c r="G81" s="64" t="s">
        <v>102</v>
      </c>
      <c r="H81" s="65">
        <v>24228</v>
      </c>
      <c r="I81" s="66" t="s">
        <v>122</v>
      </c>
      <c r="J81" s="66"/>
    </row>
    <row r="82" spans="1:10">
      <c r="A82" s="63">
        <v>21</v>
      </c>
      <c r="B82" s="65">
        <v>24245</v>
      </c>
      <c r="C82" s="66" t="s">
        <v>584</v>
      </c>
      <c r="D82" s="68" t="s">
        <v>843</v>
      </c>
      <c r="F82" s="63">
        <v>21</v>
      </c>
      <c r="G82" s="64" t="s">
        <v>102</v>
      </c>
      <c r="H82" s="65">
        <v>24245</v>
      </c>
      <c r="I82" s="66" t="s">
        <v>123</v>
      </c>
      <c r="J82" s="66"/>
    </row>
    <row r="83" spans="1:10">
      <c r="A83" s="63">
        <v>22</v>
      </c>
      <c r="B83" s="65">
        <v>90013</v>
      </c>
      <c r="C83" s="66" t="s">
        <v>585</v>
      </c>
      <c r="D83" s="68" t="s">
        <v>844</v>
      </c>
      <c r="F83" s="63">
        <v>22</v>
      </c>
      <c r="G83" s="64" t="s">
        <v>102</v>
      </c>
      <c r="H83" s="65">
        <v>90013</v>
      </c>
      <c r="I83" s="66" t="s">
        <v>124</v>
      </c>
      <c r="J83" s="66"/>
    </row>
    <row r="84" spans="1:10">
      <c r="A84" s="63">
        <v>1</v>
      </c>
      <c r="B84" s="65">
        <v>2494</v>
      </c>
      <c r="C84" s="66" t="s">
        <v>586</v>
      </c>
      <c r="D84" s="68" t="s">
        <v>845</v>
      </c>
      <c r="F84" s="63">
        <v>1</v>
      </c>
      <c r="G84" s="64" t="s">
        <v>125</v>
      </c>
      <c r="H84" s="65">
        <v>2494</v>
      </c>
      <c r="I84" s="66" t="s">
        <v>126</v>
      </c>
      <c r="J84" s="66"/>
    </row>
    <row r="85" spans="1:10">
      <c r="A85" s="63">
        <v>2</v>
      </c>
      <c r="B85" s="65">
        <v>24002</v>
      </c>
      <c r="C85" s="66" t="s">
        <v>587</v>
      </c>
      <c r="D85" s="68" t="s">
        <v>846</v>
      </c>
      <c r="F85" s="63">
        <v>2</v>
      </c>
      <c r="G85" s="64" t="s">
        <v>125</v>
      </c>
      <c r="H85" s="65">
        <v>24002</v>
      </c>
      <c r="I85" s="66" t="s">
        <v>127</v>
      </c>
      <c r="J85" s="66"/>
    </row>
    <row r="86" spans="1:10">
      <c r="A86" s="63">
        <v>3</v>
      </c>
      <c r="B86" s="65">
        <v>24016</v>
      </c>
      <c r="C86" s="66" t="s">
        <v>588</v>
      </c>
      <c r="D86" s="68" t="s">
        <v>847</v>
      </c>
      <c r="F86" s="63">
        <v>3</v>
      </c>
      <c r="G86" s="64" t="s">
        <v>125</v>
      </c>
      <c r="H86" s="65">
        <v>24016</v>
      </c>
      <c r="I86" s="66" t="s">
        <v>128</v>
      </c>
      <c r="J86" s="66"/>
    </row>
    <row r="87" spans="1:10">
      <c r="A87" s="63">
        <v>4</v>
      </c>
      <c r="B87" s="65">
        <v>24021</v>
      </c>
      <c r="C87" s="66" t="s">
        <v>589</v>
      </c>
      <c r="D87" s="68" t="s">
        <v>848</v>
      </c>
      <c r="F87" s="63">
        <v>4</v>
      </c>
      <c r="G87" s="64" t="s">
        <v>125</v>
      </c>
      <c r="H87" s="65">
        <v>24021</v>
      </c>
      <c r="I87" s="66" t="s">
        <v>129</v>
      </c>
      <c r="J87" s="66"/>
    </row>
    <row r="88" spans="1:10">
      <c r="A88" s="63">
        <v>5</v>
      </c>
      <c r="B88" s="65">
        <v>24054</v>
      </c>
      <c r="C88" s="66" t="s">
        <v>590</v>
      </c>
      <c r="D88" s="68" t="s">
        <v>849</v>
      </c>
      <c r="F88" s="63">
        <v>5</v>
      </c>
      <c r="G88" s="64" t="s">
        <v>125</v>
      </c>
      <c r="H88" s="65">
        <v>24054</v>
      </c>
      <c r="I88" s="66" t="s">
        <v>130</v>
      </c>
      <c r="J88" s="66"/>
    </row>
    <row r="89" spans="1:10">
      <c r="A89" s="63">
        <v>6</v>
      </c>
      <c r="B89" s="65">
        <v>24058</v>
      </c>
      <c r="C89" s="66" t="s">
        <v>591</v>
      </c>
      <c r="D89" s="68" t="s">
        <v>850</v>
      </c>
      <c r="F89" s="63">
        <v>6</v>
      </c>
      <c r="G89" s="64" t="s">
        <v>125</v>
      </c>
      <c r="H89" s="65">
        <v>24058</v>
      </c>
      <c r="I89" s="66" t="s">
        <v>131</v>
      </c>
      <c r="J89" s="66"/>
    </row>
    <row r="90" spans="1:10">
      <c r="A90" s="63">
        <v>7</v>
      </c>
      <c r="B90" s="65">
        <v>24076</v>
      </c>
      <c r="C90" s="66" t="s">
        <v>515</v>
      </c>
      <c r="D90" s="68" t="s">
        <v>851</v>
      </c>
      <c r="F90" s="63">
        <v>7</v>
      </c>
      <c r="G90" s="64" t="s">
        <v>125</v>
      </c>
      <c r="H90" s="65">
        <v>24076</v>
      </c>
      <c r="I90" s="66" t="s">
        <v>132</v>
      </c>
      <c r="J90" s="66"/>
    </row>
    <row r="91" spans="1:10">
      <c r="A91" s="63">
        <v>8</v>
      </c>
      <c r="B91" s="65">
        <v>24082</v>
      </c>
      <c r="C91" s="66" t="s">
        <v>592</v>
      </c>
      <c r="D91" s="68" t="s">
        <v>852</v>
      </c>
      <c r="F91" s="63">
        <v>8</v>
      </c>
      <c r="G91" s="64" t="s">
        <v>125</v>
      </c>
      <c r="H91" s="65">
        <v>24082</v>
      </c>
      <c r="I91" s="66" t="s">
        <v>133</v>
      </c>
      <c r="J91" s="66"/>
    </row>
    <row r="92" spans="1:10">
      <c r="A92" s="63">
        <v>9</v>
      </c>
      <c r="B92" s="65">
        <v>24086</v>
      </c>
      <c r="C92" s="66" t="s">
        <v>593</v>
      </c>
      <c r="D92" s="68" t="s">
        <v>853</v>
      </c>
      <c r="F92" s="63">
        <v>9</v>
      </c>
      <c r="G92" s="64" t="s">
        <v>125</v>
      </c>
      <c r="H92" s="65">
        <v>24086</v>
      </c>
      <c r="I92" s="66" t="s">
        <v>134</v>
      </c>
      <c r="J92" s="66"/>
    </row>
    <row r="93" spans="1:10">
      <c r="A93" s="63">
        <v>10</v>
      </c>
      <c r="B93" s="65">
        <v>24102</v>
      </c>
      <c r="C93" s="66" t="s">
        <v>594</v>
      </c>
      <c r="D93" s="68" t="s">
        <v>854</v>
      </c>
      <c r="F93" s="63">
        <v>10</v>
      </c>
      <c r="G93" s="64" t="s">
        <v>125</v>
      </c>
      <c r="H93" s="65">
        <v>24102</v>
      </c>
      <c r="I93" s="66" t="s">
        <v>135</v>
      </c>
      <c r="J93" s="66"/>
    </row>
    <row r="94" spans="1:10">
      <c r="A94" s="63">
        <v>11</v>
      </c>
      <c r="B94" s="65">
        <v>24110</v>
      </c>
      <c r="C94" s="66" t="s">
        <v>595</v>
      </c>
      <c r="D94" s="68" t="s">
        <v>855</v>
      </c>
      <c r="F94" s="63">
        <v>11</v>
      </c>
      <c r="G94" s="64" t="s">
        <v>125</v>
      </c>
      <c r="H94" s="65">
        <v>24110</v>
      </c>
      <c r="I94" s="66" t="s">
        <v>136</v>
      </c>
      <c r="J94" s="66"/>
    </row>
    <row r="95" spans="1:10">
      <c r="A95" s="63">
        <v>12</v>
      </c>
      <c r="B95" s="65">
        <v>24150</v>
      </c>
      <c r="C95" s="66" t="s">
        <v>596</v>
      </c>
      <c r="D95" s="68" t="s">
        <v>856</v>
      </c>
      <c r="F95" s="63">
        <v>12</v>
      </c>
      <c r="G95" s="64" t="s">
        <v>125</v>
      </c>
      <c r="H95" s="65">
        <v>24150</v>
      </c>
      <c r="I95" s="66" t="s">
        <v>137</v>
      </c>
      <c r="J95" s="66"/>
    </row>
    <row r="96" spans="1:10">
      <c r="A96" s="63">
        <v>13</v>
      </c>
      <c r="B96" s="65">
        <v>24163</v>
      </c>
      <c r="C96" s="66" t="s">
        <v>569</v>
      </c>
      <c r="D96" s="68" t="s">
        <v>857</v>
      </c>
      <c r="F96" s="63">
        <v>13</v>
      </c>
      <c r="G96" s="64" t="s">
        <v>125</v>
      </c>
      <c r="H96" s="65">
        <v>24163</v>
      </c>
      <c r="I96" s="66" t="s">
        <v>138</v>
      </c>
      <c r="J96" s="66"/>
    </row>
    <row r="97" spans="1:10">
      <c r="A97" s="63">
        <v>14</v>
      </c>
      <c r="B97" s="65">
        <v>24176</v>
      </c>
      <c r="C97" s="66" t="s">
        <v>598</v>
      </c>
      <c r="D97" s="68" t="s">
        <v>858</v>
      </c>
      <c r="F97" s="63">
        <v>14</v>
      </c>
      <c r="G97" s="64" t="s">
        <v>125</v>
      </c>
      <c r="H97" s="65">
        <v>24176</v>
      </c>
      <c r="I97" s="66" t="s">
        <v>139</v>
      </c>
      <c r="J97" s="66"/>
    </row>
    <row r="98" spans="1:10">
      <c r="A98" s="63">
        <v>15</v>
      </c>
      <c r="B98" s="65">
        <v>24187</v>
      </c>
      <c r="C98" s="66" t="s">
        <v>599</v>
      </c>
      <c r="D98" s="68" t="s">
        <v>859</v>
      </c>
      <c r="F98" s="63">
        <v>15</v>
      </c>
      <c r="G98" s="64" t="s">
        <v>125</v>
      </c>
      <c r="H98" s="65">
        <v>24187</v>
      </c>
      <c r="I98" s="66" t="s">
        <v>140</v>
      </c>
      <c r="J98" s="66"/>
    </row>
    <row r="99" spans="1:10">
      <c r="A99" s="63">
        <v>16</v>
      </c>
      <c r="B99" s="65">
        <v>24206</v>
      </c>
      <c r="C99" s="66" t="s">
        <v>600</v>
      </c>
      <c r="D99" s="68" t="s">
        <v>860</v>
      </c>
      <c r="F99" s="63">
        <v>16</v>
      </c>
      <c r="G99" s="64" t="s">
        <v>125</v>
      </c>
      <c r="H99" s="65">
        <v>24206</v>
      </c>
      <c r="I99" s="66" t="s">
        <v>141</v>
      </c>
      <c r="J99" s="66"/>
    </row>
    <row r="100" spans="1:10">
      <c r="A100" s="63">
        <v>17</v>
      </c>
      <c r="B100" s="65">
        <v>24217</v>
      </c>
      <c r="C100" s="66" t="s">
        <v>601</v>
      </c>
      <c r="D100" s="68" t="s">
        <v>861</v>
      </c>
      <c r="F100" s="63">
        <v>17</v>
      </c>
      <c r="G100" s="64" t="s">
        <v>125</v>
      </c>
      <c r="H100" s="65">
        <v>24217</v>
      </c>
      <c r="I100" s="66" t="s">
        <v>142</v>
      </c>
      <c r="J100" s="66"/>
    </row>
    <row r="101" spans="1:10">
      <c r="A101" s="63">
        <v>18</v>
      </c>
      <c r="B101" s="65">
        <v>24241</v>
      </c>
      <c r="C101" s="66" t="s">
        <v>602</v>
      </c>
      <c r="D101" s="68" t="s">
        <v>862</v>
      </c>
      <c r="F101" s="63">
        <v>18</v>
      </c>
      <c r="G101" s="64" t="s">
        <v>125</v>
      </c>
      <c r="H101" s="65">
        <v>24241</v>
      </c>
      <c r="I101" s="66" t="s">
        <v>143</v>
      </c>
      <c r="J101" s="66"/>
    </row>
    <row r="102" spans="1:10">
      <c r="A102" s="63">
        <v>19</v>
      </c>
      <c r="B102" s="65">
        <v>24258</v>
      </c>
      <c r="C102" s="66" t="s">
        <v>591</v>
      </c>
      <c r="D102" s="68" t="s">
        <v>863</v>
      </c>
      <c r="F102" s="63">
        <v>19</v>
      </c>
      <c r="G102" s="64" t="s">
        <v>125</v>
      </c>
      <c r="H102" s="65">
        <v>24258</v>
      </c>
      <c r="I102" s="66" t="s">
        <v>144</v>
      </c>
      <c r="J102" s="66"/>
    </row>
    <row r="103" spans="1:10">
      <c r="A103" s="63">
        <v>20</v>
      </c>
      <c r="B103" s="65">
        <v>24262</v>
      </c>
      <c r="C103" s="66" t="s">
        <v>566</v>
      </c>
      <c r="D103" s="68" t="s">
        <v>864</v>
      </c>
      <c r="F103" s="63">
        <v>20</v>
      </c>
      <c r="G103" s="64" t="s">
        <v>125</v>
      </c>
      <c r="H103" s="65">
        <v>24262</v>
      </c>
      <c r="I103" s="66" t="s">
        <v>145</v>
      </c>
      <c r="J103" s="66"/>
    </row>
    <row r="104" spans="1:10">
      <c r="A104" s="63">
        <v>21</v>
      </c>
      <c r="B104" s="65">
        <v>90016</v>
      </c>
      <c r="C104" s="66" t="s">
        <v>603</v>
      </c>
      <c r="D104" s="68" t="s">
        <v>844</v>
      </c>
      <c r="F104" s="63">
        <v>21</v>
      </c>
      <c r="G104" s="64" t="s">
        <v>125</v>
      </c>
      <c r="H104" s="65">
        <v>90016</v>
      </c>
      <c r="I104" s="66" t="s">
        <v>146</v>
      </c>
      <c r="J104" s="66"/>
    </row>
    <row r="105" spans="1:10">
      <c r="A105" s="63">
        <v>22</v>
      </c>
      <c r="B105" s="65">
        <v>90017</v>
      </c>
      <c r="C105" s="66" t="s">
        <v>538</v>
      </c>
      <c r="D105" s="68" t="s">
        <v>865</v>
      </c>
      <c r="F105" s="63">
        <v>22</v>
      </c>
      <c r="G105" s="64" t="s">
        <v>125</v>
      </c>
      <c r="H105" s="65">
        <v>90017</v>
      </c>
      <c r="I105" s="66" t="s">
        <v>147</v>
      </c>
      <c r="J105" s="66"/>
    </row>
    <row r="106" spans="1:10">
      <c r="A106" s="63">
        <v>1</v>
      </c>
      <c r="B106" s="65">
        <v>24006</v>
      </c>
      <c r="C106" s="66" t="s">
        <v>604</v>
      </c>
      <c r="D106" s="68" t="s">
        <v>866</v>
      </c>
      <c r="F106" s="63">
        <v>1</v>
      </c>
      <c r="G106" s="64" t="s">
        <v>148</v>
      </c>
      <c r="H106" s="65">
        <v>24006</v>
      </c>
      <c r="I106" s="66" t="s">
        <v>149</v>
      </c>
      <c r="J106" s="66"/>
    </row>
    <row r="107" spans="1:10">
      <c r="A107" s="63">
        <v>2</v>
      </c>
      <c r="B107" s="65">
        <v>24053</v>
      </c>
      <c r="C107" s="66" t="s">
        <v>605</v>
      </c>
      <c r="D107" s="68" t="s">
        <v>867</v>
      </c>
      <c r="F107" s="63">
        <v>2</v>
      </c>
      <c r="G107" s="64" t="s">
        <v>148</v>
      </c>
      <c r="H107" s="65">
        <v>24053</v>
      </c>
      <c r="I107" s="66" t="s">
        <v>150</v>
      </c>
      <c r="J107" s="66"/>
    </row>
    <row r="108" spans="1:10">
      <c r="A108" s="63">
        <v>3</v>
      </c>
      <c r="B108" s="65">
        <v>24056</v>
      </c>
      <c r="C108" s="66" t="s">
        <v>606</v>
      </c>
      <c r="D108" s="68" t="s">
        <v>868</v>
      </c>
      <c r="F108" s="63">
        <v>3</v>
      </c>
      <c r="G108" s="64" t="s">
        <v>148</v>
      </c>
      <c r="H108" s="65">
        <v>24056</v>
      </c>
      <c r="I108" s="66" t="s">
        <v>151</v>
      </c>
      <c r="J108" s="66"/>
    </row>
    <row r="109" spans="1:10">
      <c r="A109" s="63">
        <v>4</v>
      </c>
      <c r="B109" s="65">
        <v>24060</v>
      </c>
      <c r="C109" s="66" t="s">
        <v>544</v>
      </c>
      <c r="D109" s="68" t="s">
        <v>869</v>
      </c>
      <c r="F109" s="63">
        <v>4</v>
      </c>
      <c r="G109" s="64" t="s">
        <v>148</v>
      </c>
      <c r="H109" s="65">
        <v>24060</v>
      </c>
      <c r="I109" s="66" t="s">
        <v>152</v>
      </c>
      <c r="J109" s="66"/>
    </row>
    <row r="110" spans="1:10">
      <c r="A110" s="63">
        <v>5</v>
      </c>
      <c r="B110" s="65">
        <v>24096</v>
      </c>
      <c r="C110" s="66" t="s">
        <v>607</v>
      </c>
      <c r="D110" s="68" t="s">
        <v>870</v>
      </c>
      <c r="F110" s="63">
        <v>5</v>
      </c>
      <c r="G110" s="64" t="s">
        <v>148</v>
      </c>
      <c r="H110" s="65">
        <v>24096</v>
      </c>
      <c r="I110" s="66" t="s">
        <v>153</v>
      </c>
      <c r="J110" s="66"/>
    </row>
    <row r="111" spans="1:10">
      <c r="A111" s="63">
        <v>6</v>
      </c>
      <c r="B111" s="65">
        <v>24101</v>
      </c>
      <c r="C111" s="66" t="s">
        <v>608</v>
      </c>
      <c r="D111" s="68" t="s">
        <v>871</v>
      </c>
      <c r="F111" s="63">
        <v>6</v>
      </c>
      <c r="G111" s="64" t="s">
        <v>148</v>
      </c>
      <c r="H111" s="65">
        <v>24101</v>
      </c>
      <c r="I111" s="66" t="s">
        <v>154</v>
      </c>
      <c r="J111" s="66"/>
    </row>
    <row r="112" spans="1:10">
      <c r="A112" s="63">
        <v>7</v>
      </c>
      <c r="B112" s="65">
        <v>24145</v>
      </c>
      <c r="C112" s="66" t="s">
        <v>609</v>
      </c>
      <c r="D112" s="68" t="s">
        <v>872</v>
      </c>
      <c r="F112" s="63">
        <v>7</v>
      </c>
      <c r="G112" s="64" t="s">
        <v>148</v>
      </c>
      <c r="H112" s="65">
        <v>24145</v>
      </c>
      <c r="I112" s="66" t="s">
        <v>155</v>
      </c>
      <c r="J112" s="66"/>
    </row>
    <row r="113" spans="1:10">
      <c r="A113" s="63">
        <v>8</v>
      </c>
      <c r="B113" s="65">
        <v>24166</v>
      </c>
      <c r="C113" s="66" t="s">
        <v>610</v>
      </c>
      <c r="D113" s="68" t="s">
        <v>873</v>
      </c>
      <c r="F113" s="63">
        <v>8</v>
      </c>
      <c r="G113" s="64" t="s">
        <v>148</v>
      </c>
      <c r="H113" s="65">
        <v>24166</v>
      </c>
      <c r="I113" s="66" t="s">
        <v>156</v>
      </c>
      <c r="J113" s="66"/>
    </row>
    <row r="114" spans="1:10">
      <c r="A114" s="63">
        <v>9</v>
      </c>
      <c r="B114" s="65">
        <v>24198</v>
      </c>
      <c r="C114" s="66" t="s">
        <v>611</v>
      </c>
      <c r="D114" s="68" t="s">
        <v>874</v>
      </c>
      <c r="F114" s="63">
        <v>9</v>
      </c>
      <c r="G114" s="64" t="s">
        <v>148</v>
      </c>
      <c r="H114" s="65">
        <v>24198</v>
      </c>
      <c r="I114" s="66" t="s">
        <v>157</v>
      </c>
      <c r="J114" s="66"/>
    </row>
    <row r="115" spans="1:10">
      <c r="A115" s="63">
        <v>10</v>
      </c>
      <c r="B115" s="65">
        <v>24211</v>
      </c>
      <c r="C115" s="66" t="s">
        <v>561</v>
      </c>
      <c r="D115" s="68" t="s">
        <v>875</v>
      </c>
      <c r="F115" s="63">
        <v>10</v>
      </c>
      <c r="G115" s="64" t="s">
        <v>148</v>
      </c>
      <c r="H115" s="65">
        <v>24211</v>
      </c>
      <c r="I115" s="66" t="s">
        <v>158</v>
      </c>
      <c r="J115" s="66"/>
    </row>
    <row r="116" spans="1:10">
      <c r="A116" s="63">
        <v>11</v>
      </c>
      <c r="B116" s="65">
        <v>24212</v>
      </c>
      <c r="C116" s="66" t="s">
        <v>579</v>
      </c>
      <c r="D116" s="68" t="s">
        <v>876</v>
      </c>
      <c r="F116" s="63">
        <v>11</v>
      </c>
      <c r="G116" s="64" t="s">
        <v>148</v>
      </c>
      <c r="H116" s="65">
        <v>24212</v>
      </c>
      <c r="I116" s="66" t="s">
        <v>159</v>
      </c>
      <c r="J116" s="66"/>
    </row>
    <row r="117" spans="1:10">
      <c r="A117" s="63">
        <v>12</v>
      </c>
      <c r="B117" s="65">
        <v>24240</v>
      </c>
      <c r="C117" s="66" t="s">
        <v>538</v>
      </c>
      <c r="D117" s="68" t="s">
        <v>877</v>
      </c>
      <c r="F117" s="63">
        <v>12</v>
      </c>
      <c r="G117" s="64" t="s">
        <v>148</v>
      </c>
      <c r="H117" s="65">
        <v>24240</v>
      </c>
      <c r="I117" s="66" t="s">
        <v>160</v>
      </c>
      <c r="J117" s="66"/>
    </row>
    <row r="118" spans="1:10">
      <c r="A118" s="63">
        <v>13</v>
      </c>
      <c r="B118" s="65">
        <v>24255</v>
      </c>
      <c r="C118" s="66" t="s">
        <v>613</v>
      </c>
      <c r="D118" s="68" t="s">
        <v>878</v>
      </c>
      <c r="F118" s="63">
        <v>13</v>
      </c>
      <c r="G118" s="64" t="s">
        <v>148</v>
      </c>
      <c r="H118" s="65">
        <v>24255</v>
      </c>
      <c r="I118" s="66" t="s">
        <v>161</v>
      </c>
      <c r="J118" s="66"/>
    </row>
    <row r="119" spans="1:10">
      <c r="A119" s="63">
        <v>14</v>
      </c>
      <c r="B119" s="65">
        <v>24257</v>
      </c>
      <c r="C119" s="66" t="s">
        <v>614</v>
      </c>
      <c r="D119" s="68" t="s">
        <v>879</v>
      </c>
      <c r="F119" s="63">
        <v>14</v>
      </c>
      <c r="G119" s="64" t="s">
        <v>148</v>
      </c>
      <c r="H119" s="65">
        <v>24257</v>
      </c>
      <c r="I119" s="66" t="s">
        <v>162</v>
      </c>
      <c r="J119" s="66"/>
    </row>
    <row r="120" spans="1:10">
      <c r="A120" s="63">
        <v>15</v>
      </c>
      <c r="B120" s="65">
        <v>24266</v>
      </c>
      <c r="C120" s="66" t="s">
        <v>615</v>
      </c>
      <c r="D120" s="68" t="s">
        <v>880</v>
      </c>
      <c r="F120" s="63">
        <v>15</v>
      </c>
      <c r="G120" s="64" t="s">
        <v>148</v>
      </c>
      <c r="H120" s="65">
        <v>24266</v>
      </c>
      <c r="I120" s="66" t="s">
        <v>163</v>
      </c>
      <c r="J120" s="66"/>
    </row>
    <row r="121" spans="1:10">
      <c r="A121" s="63">
        <v>16</v>
      </c>
      <c r="B121" s="65">
        <v>24275</v>
      </c>
      <c r="C121" s="66" t="s">
        <v>577</v>
      </c>
      <c r="D121" s="68" t="s">
        <v>881</v>
      </c>
      <c r="F121" s="63">
        <v>16</v>
      </c>
      <c r="G121" s="64" t="s">
        <v>148</v>
      </c>
      <c r="H121" s="65">
        <v>24275</v>
      </c>
      <c r="I121" s="66" t="s">
        <v>164</v>
      </c>
      <c r="J121" s="66"/>
    </row>
    <row r="122" spans="1:10">
      <c r="A122" s="63">
        <v>17</v>
      </c>
      <c r="B122" s="65">
        <v>24279</v>
      </c>
      <c r="C122" s="66" t="s">
        <v>616</v>
      </c>
      <c r="D122" s="68" t="s">
        <v>882</v>
      </c>
      <c r="F122" s="63">
        <v>17</v>
      </c>
      <c r="G122" s="64" t="s">
        <v>148</v>
      </c>
      <c r="H122" s="65">
        <v>24279</v>
      </c>
      <c r="I122" s="66" t="s">
        <v>165</v>
      </c>
      <c r="J122" s="66"/>
    </row>
    <row r="123" spans="1:10">
      <c r="A123" s="63">
        <v>18</v>
      </c>
      <c r="B123" s="65">
        <v>24280</v>
      </c>
      <c r="C123" s="66" t="s">
        <v>617</v>
      </c>
      <c r="D123" s="68" t="s">
        <v>883</v>
      </c>
      <c r="F123" s="63">
        <v>18</v>
      </c>
      <c r="G123" s="64" t="s">
        <v>148</v>
      </c>
      <c r="H123" s="65">
        <v>24280</v>
      </c>
      <c r="I123" s="66" t="s">
        <v>166</v>
      </c>
      <c r="J123" s="66"/>
    </row>
    <row r="124" spans="1:10">
      <c r="A124" s="63">
        <v>19</v>
      </c>
      <c r="B124" s="65">
        <v>24375</v>
      </c>
      <c r="C124" s="66" t="s">
        <v>619</v>
      </c>
      <c r="D124" s="68" t="s">
        <v>884</v>
      </c>
      <c r="F124" s="63">
        <v>19</v>
      </c>
      <c r="G124" s="64" t="s">
        <v>148</v>
      </c>
      <c r="H124" s="65">
        <v>24375</v>
      </c>
      <c r="I124" s="66" t="s">
        <v>167</v>
      </c>
      <c r="J124" s="66"/>
    </row>
    <row r="125" spans="1:10">
      <c r="A125" s="63">
        <v>20</v>
      </c>
      <c r="B125" s="65">
        <v>90018</v>
      </c>
      <c r="C125" s="66" t="s">
        <v>620</v>
      </c>
      <c r="D125" s="68" t="s">
        <v>885</v>
      </c>
      <c r="F125" s="63">
        <v>20</v>
      </c>
      <c r="G125" s="64" t="s">
        <v>148</v>
      </c>
      <c r="H125" s="65">
        <v>90018</v>
      </c>
      <c r="I125" s="66" t="s">
        <v>168</v>
      </c>
      <c r="J125" s="66"/>
    </row>
    <row r="126" spans="1:10">
      <c r="A126" s="63">
        <v>21</v>
      </c>
      <c r="B126" s="65">
        <v>90019</v>
      </c>
      <c r="C126" s="66" t="s">
        <v>621</v>
      </c>
      <c r="D126" s="68" t="s">
        <v>886</v>
      </c>
      <c r="F126" s="63">
        <v>21</v>
      </c>
      <c r="G126" s="64" t="s">
        <v>148</v>
      </c>
      <c r="H126" s="65">
        <v>90019</v>
      </c>
      <c r="I126" s="66" t="s">
        <v>169</v>
      </c>
      <c r="J126" s="66"/>
    </row>
    <row r="127" spans="1:10">
      <c r="A127" s="63">
        <v>22</v>
      </c>
      <c r="B127" s="65">
        <v>90020</v>
      </c>
      <c r="C127" s="66" t="s">
        <v>550</v>
      </c>
      <c r="D127" s="68" t="s">
        <v>887</v>
      </c>
      <c r="F127" s="63">
        <v>22</v>
      </c>
      <c r="G127" s="64" t="s">
        <v>148</v>
      </c>
      <c r="H127" s="65">
        <v>90020</v>
      </c>
      <c r="I127" s="66" t="s">
        <v>170</v>
      </c>
      <c r="J127" s="66"/>
    </row>
    <row r="128" spans="1:10">
      <c r="A128" s="63">
        <v>23</v>
      </c>
      <c r="B128" s="65">
        <v>90021</v>
      </c>
      <c r="C128" s="66" t="s">
        <v>597</v>
      </c>
      <c r="D128" s="68" t="s">
        <v>888</v>
      </c>
      <c r="F128" s="63">
        <v>23</v>
      </c>
      <c r="G128" s="64" t="s">
        <v>148</v>
      </c>
      <c r="H128" s="65">
        <v>90021</v>
      </c>
      <c r="I128" s="66" t="s">
        <v>171</v>
      </c>
      <c r="J128" s="66"/>
    </row>
    <row r="129" spans="1:10">
      <c r="A129" s="63">
        <v>24</v>
      </c>
      <c r="B129" s="65">
        <v>90023</v>
      </c>
      <c r="C129" s="66" t="s">
        <v>622</v>
      </c>
      <c r="D129" s="68" t="s">
        <v>889</v>
      </c>
      <c r="F129" s="63">
        <v>24</v>
      </c>
      <c r="G129" s="64" t="s">
        <v>148</v>
      </c>
      <c r="H129" s="65">
        <v>90023</v>
      </c>
      <c r="I129" s="66" t="s">
        <v>172</v>
      </c>
      <c r="J129" s="66"/>
    </row>
    <row r="130" spans="1:10">
      <c r="A130" s="63">
        <v>25</v>
      </c>
      <c r="B130" s="65">
        <v>90025</v>
      </c>
      <c r="C130" s="66" t="s">
        <v>623</v>
      </c>
      <c r="D130" s="68" t="s">
        <v>890</v>
      </c>
      <c r="F130" s="63">
        <v>25</v>
      </c>
      <c r="G130" s="64" t="s">
        <v>148</v>
      </c>
      <c r="H130" s="65">
        <v>90025</v>
      </c>
      <c r="I130" s="66" t="s">
        <v>173</v>
      </c>
      <c r="J130" s="66"/>
    </row>
    <row r="131" spans="1:10">
      <c r="A131" s="63">
        <v>26</v>
      </c>
      <c r="B131" s="65">
        <v>90026</v>
      </c>
      <c r="C131" s="66" t="s">
        <v>624</v>
      </c>
      <c r="D131" s="68" t="s">
        <v>891</v>
      </c>
      <c r="F131" s="63">
        <v>26</v>
      </c>
      <c r="G131" s="64" t="s">
        <v>148</v>
      </c>
      <c r="H131" s="65">
        <v>90026</v>
      </c>
      <c r="I131" s="66" t="s">
        <v>174</v>
      </c>
      <c r="J131" s="66"/>
    </row>
    <row r="132" spans="1:10">
      <c r="A132" s="63">
        <v>27</v>
      </c>
      <c r="B132" s="65">
        <v>90027</v>
      </c>
      <c r="C132" s="66" t="s">
        <v>625</v>
      </c>
      <c r="D132" s="68" t="s">
        <v>892</v>
      </c>
      <c r="F132" s="63">
        <v>27</v>
      </c>
      <c r="G132" s="64" t="s">
        <v>148</v>
      </c>
      <c r="H132" s="65">
        <v>90027</v>
      </c>
      <c r="I132" s="66" t="s">
        <v>175</v>
      </c>
      <c r="J132" s="66"/>
    </row>
    <row r="133" spans="1:10">
      <c r="A133" s="63">
        <v>28</v>
      </c>
      <c r="B133" s="65">
        <v>90028</v>
      </c>
      <c r="C133" s="66" t="s">
        <v>626</v>
      </c>
      <c r="D133" s="68" t="s">
        <v>893</v>
      </c>
      <c r="F133" s="63">
        <v>28</v>
      </c>
      <c r="G133" s="64" t="s">
        <v>148</v>
      </c>
      <c r="H133" s="65">
        <v>90028</v>
      </c>
      <c r="I133" s="66" t="s">
        <v>176</v>
      </c>
      <c r="J133" s="66"/>
    </row>
    <row r="134" spans="1:10">
      <c r="A134" s="63">
        <v>29</v>
      </c>
      <c r="B134" s="65">
        <v>90030</v>
      </c>
      <c r="C134" s="66" t="s">
        <v>627</v>
      </c>
      <c r="D134" s="68" t="s">
        <v>894</v>
      </c>
      <c r="F134" s="63">
        <v>29</v>
      </c>
      <c r="G134" s="64" t="s">
        <v>148</v>
      </c>
      <c r="H134" s="65">
        <v>90030</v>
      </c>
      <c r="I134" s="66" t="s">
        <v>177</v>
      </c>
      <c r="J134" s="66"/>
    </row>
    <row r="135" spans="1:10">
      <c r="A135" s="63">
        <v>1</v>
      </c>
      <c r="B135" s="65">
        <v>24017</v>
      </c>
      <c r="C135" s="66" t="s">
        <v>628</v>
      </c>
      <c r="D135" s="68" t="s">
        <v>895</v>
      </c>
      <c r="F135" s="63">
        <v>1</v>
      </c>
      <c r="G135" s="64" t="s">
        <v>178</v>
      </c>
      <c r="H135" s="65">
        <v>24017</v>
      </c>
      <c r="I135" s="66" t="s">
        <v>179</v>
      </c>
      <c r="J135" s="66"/>
    </row>
    <row r="136" spans="1:10">
      <c r="A136" s="63">
        <v>2</v>
      </c>
      <c r="B136" s="65">
        <v>24020</v>
      </c>
      <c r="C136" s="66" t="s">
        <v>629</v>
      </c>
      <c r="D136" s="68" t="s">
        <v>896</v>
      </c>
      <c r="F136" s="63">
        <v>2</v>
      </c>
      <c r="G136" s="64" t="s">
        <v>178</v>
      </c>
      <c r="H136" s="65">
        <v>24020</v>
      </c>
      <c r="I136" s="66" t="s">
        <v>180</v>
      </c>
      <c r="J136" s="66"/>
    </row>
    <row r="137" spans="1:10">
      <c r="A137" s="63">
        <v>3</v>
      </c>
      <c r="B137" s="65">
        <v>24024</v>
      </c>
      <c r="C137" s="66" t="s">
        <v>630</v>
      </c>
      <c r="D137" s="68" t="s">
        <v>897</v>
      </c>
      <c r="F137" s="63">
        <v>3</v>
      </c>
      <c r="G137" s="64" t="s">
        <v>178</v>
      </c>
      <c r="H137" s="65">
        <v>24024</v>
      </c>
      <c r="I137" s="66" t="s">
        <v>181</v>
      </c>
      <c r="J137" s="66"/>
    </row>
    <row r="138" spans="1:10">
      <c r="A138" s="63">
        <v>4</v>
      </c>
      <c r="B138" s="65">
        <v>24049</v>
      </c>
      <c r="C138" s="66" t="s">
        <v>569</v>
      </c>
      <c r="D138" s="68" t="s">
        <v>898</v>
      </c>
      <c r="F138" s="63">
        <v>4</v>
      </c>
      <c r="G138" s="64" t="s">
        <v>178</v>
      </c>
      <c r="H138" s="65">
        <v>24049</v>
      </c>
      <c r="I138" s="66" t="s">
        <v>182</v>
      </c>
      <c r="J138" s="66"/>
    </row>
    <row r="139" spans="1:10">
      <c r="A139" s="63">
        <v>5</v>
      </c>
      <c r="B139" s="65">
        <v>24066</v>
      </c>
      <c r="C139" s="66" t="s">
        <v>631</v>
      </c>
      <c r="D139" s="68" t="s">
        <v>899</v>
      </c>
      <c r="F139" s="63">
        <v>5</v>
      </c>
      <c r="G139" s="64" t="s">
        <v>178</v>
      </c>
      <c r="H139" s="65">
        <v>24066</v>
      </c>
      <c r="I139" s="66" t="s">
        <v>183</v>
      </c>
      <c r="J139" s="66"/>
    </row>
    <row r="140" spans="1:10">
      <c r="A140" s="63">
        <v>6</v>
      </c>
      <c r="B140" s="65">
        <v>24080</v>
      </c>
      <c r="C140" s="66" t="s">
        <v>550</v>
      </c>
      <c r="D140" s="68" t="s">
        <v>900</v>
      </c>
      <c r="F140" s="63">
        <v>6</v>
      </c>
      <c r="G140" s="64" t="s">
        <v>178</v>
      </c>
      <c r="H140" s="65">
        <v>24080</v>
      </c>
      <c r="I140" s="66" t="s">
        <v>184</v>
      </c>
      <c r="J140" s="66"/>
    </row>
    <row r="141" spans="1:10">
      <c r="A141" s="63">
        <v>7</v>
      </c>
      <c r="B141" s="65">
        <v>24088</v>
      </c>
      <c r="C141" s="66" t="s">
        <v>632</v>
      </c>
      <c r="D141" s="68" t="s">
        <v>901</v>
      </c>
      <c r="F141" s="63">
        <v>7</v>
      </c>
      <c r="G141" s="64" t="s">
        <v>178</v>
      </c>
      <c r="H141" s="65">
        <v>24088</v>
      </c>
      <c r="I141" s="66" t="s">
        <v>185</v>
      </c>
      <c r="J141" s="66"/>
    </row>
    <row r="142" spans="1:10">
      <c r="A142" s="63">
        <v>8</v>
      </c>
      <c r="B142" s="65">
        <v>24100</v>
      </c>
      <c r="C142" s="66" t="s">
        <v>562</v>
      </c>
      <c r="D142" s="68" t="s">
        <v>902</v>
      </c>
      <c r="F142" s="63">
        <v>8</v>
      </c>
      <c r="G142" s="64" t="s">
        <v>178</v>
      </c>
      <c r="H142" s="65">
        <v>24100</v>
      </c>
      <c r="I142" s="66" t="s">
        <v>186</v>
      </c>
      <c r="J142" s="66"/>
    </row>
    <row r="143" spans="1:10">
      <c r="A143" s="63">
        <v>9</v>
      </c>
      <c r="B143" s="65">
        <v>24194</v>
      </c>
      <c r="C143" s="66" t="s">
        <v>565</v>
      </c>
      <c r="D143" s="68" t="s">
        <v>903</v>
      </c>
      <c r="F143" s="63">
        <v>9</v>
      </c>
      <c r="G143" s="64" t="s">
        <v>178</v>
      </c>
      <c r="H143" s="65">
        <v>24194</v>
      </c>
      <c r="I143" s="66" t="s">
        <v>187</v>
      </c>
      <c r="J143" s="66"/>
    </row>
    <row r="144" spans="1:10">
      <c r="A144" s="63">
        <v>10</v>
      </c>
      <c r="B144" s="65">
        <v>24249</v>
      </c>
      <c r="C144" s="66" t="s">
        <v>633</v>
      </c>
      <c r="D144" s="68" t="s">
        <v>904</v>
      </c>
      <c r="F144" s="63">
        <v>10</v>
      </c>
      <c r="G144" s="64" t="s">
        <v>178</v>
      </c>
      <c r="H144" s="65">
        <v>24249</v>
      </c>
      <c r="I144" s="66" t="s">
        <v>188</v>
      </c>
      <c r="J144" s="66"/>
    </row>
    <row r="145" spans="1:10">
      <c r="A145" s="63">
        <v>11</v>
      </c>
      <c r="B145" s="65">
        <v>24250</v>
      </c>
      <c r="C145" s="66" t="s">
        <v>603</v>
      </c>
      <c r="D145" s="68" t="s">
        <v>905</v>
      </c>
      <c r="F145" s="63">
        <v>11</v>
      </c>
      <c r="G145" s="64" t="s">
        <v>178</v>
      </c>
      <c r="H145" s="65">
        <v>24250</v>
      </c>
      <c r="I145" s="66" t="s">
        <v>189</v>
      </c>
      <c r="J145" s="66"/>
    </row>
    <row r="146" spans="1:10">
      <c r="A146" s="63">
        <v>12</v>
      </c>
      <c r="B146" s="65">
        <v>24251</v>
      </c>
      <c r="C146" s="66" t="s">
        <v>513</v>
      </c>
      <c r="D146" s="68" t="s">
        <v>905</v>
      </c>
      <c r="F146" s="63">
        <v>12</v>
      </c>
      <c r="G146" s="64" t="s">
        <v>178</v>
      </c>
      <c r="H146" s="65">
        <v>24251</v>
      </c>
      <c r="I146" s="66" t="s">
        <v>190</v>
      </c>
      <c r="J146" s="66"/>
    </row>
    <row r="147" spans="1:10">
      <c r="A147" s="63">
        <v>13</v>
      </c>
      <c r="B147" s="65">
        <v>24256</v>
      </c>
      <c r="C147" s="66" t="s">
        <v>566</v>
      </c>
      <c r="D147" s="68" t="s">
        <v>906</v>
      </c>
      <c r="F147" s="63">
        <v>13</v>
      </c>
      <c r="G147" s="64" t="s">
        <v>178</v>
      </c>
      <c r="H147" s="65">
        <v>24256</v>
      </c>
      <c r="I147" s="66" t="s">
        <v>191</v>
      </c>
      <c r="J147" s="66"/>
    </row>
    <row r="148" spans="1:10">
      <c r="A148" s="63">
        <v>14</v>
      </c>
      <c r="B148" s="65">
        <v>24263</v>
      </c>
      <c r="C148" s="66" t="s">
        <v>634</v>
      </c>
      <c r="D148" s="68" t="s">
        <v>907</v>
      </c>
      <c r="F148" s="63">
        <v>14</v>
      </c>
      <c r="G148" s="64" t="s">
        <v>178</v>
      </c>
      <c r="H148" s="65">
        <v>24263</v>
      </c>
      <c r="I148" s="66" t="s">
        <v>192</v>
      </c>
      <c r="J148" s="66"/>
    </row>
    <row r="149" spans="1:10">
      <c r="A149" s="63">
        <v>15</v>
      </c>
      <c r="B149" s="65">
        <v>24276</v>
      </c>
      <c r="C149" s="66" t="s">
        <v>617</v>
      </c>
      <c r="D149" s="68" t="s">
        <v>908</v>
      </c>
      <c r="F149" s="63">
        <v>15</v>
      </c>
      <c r="G149" s="64" t="s">
        <v>178</v>
      </c>
      <c r="H149" s="65">
        <v>24276</v>
      </c>
      <c r="I149" s="66" t="s">
        <v>193</v>
      </c>
      <c r="J149" s="66"/>
    </row>
    <row r="150" spans="1:10">
      <c r="A150" s="63">
        <v>16</v>
      </c>
      <c r="B150" s="65">
        <v>24363</v>
      </c>
      <c r="C150" s="66" t="s">
        <v>579</v>
      </c>
      <c r="D150" s="68" t="s">
        <v>909</v>
      </c>
      <c r="F150" s="63">
        <v>16</v>
      </c>
      <c r="G150" s="64" t="s">
        <v>178</v>
      </c>
      <c r="H150" s="65">
        <v>24363</v>
      </c>
      <c r="I150" s="66" t="s">
        <v>194</v>
      </c>
      <c r="J150" s="66"/>
    </row>
    <row r="151" spans="1:10">
      <c r="A151" s="63">
        <v>17</v>
      </c>
      <c r="B151" s="65">
        <v>24372</v>
      </c>
      <c r="C151" s="66" t="s">
        <v>612</v>
      </c>
      <c r="D151" s="68" t="s">
        <v>910</v>
      </c>
      <c r="F151" s="63">
        <v>17</v>
      </c>
      <c r="G151" s="64" t="s">
        <v>178</v>
      </c>
      <c r="H151" s="65">
        <v>24372</v>
      </c>
      <c r="I151" s="66" t="s">
        <v>195</v>
      </c>
      <c r="J151" s="66"/>
    </row>
    <row r="152" spans="1:10">
      <c r="A152" s="63">
        <v>18</v>
      </c>
      <c r="B152" s="65">
        <v>24373</v>
      </c>
      <c r="C152" s="66" t="s">
        <v>635</v>
      </c>
      <c r="D152" s="68" t="s">
        <v>911</v>
      </c>
      <c r="F152" s="63">
        <v>18</v>
      </c>
      <c r="G152" s="64" t="s">
        <v>178</v>
      </c>
      <c r="H152" s="65">
        <v>24373</v>
      </c>
      <c r="I152" s="66" t="s">
        <v>196</v>
      </c>
      <c r="J152" s="66"/>
    </row>
    <row r="153" spans="1:10">
      <c r="A153" s="63">
        <v>19</v>
      </c>
      <c r="B153" s="65">
        <v>24377</v>
      </c>
      <c r="C153" s="66" t="s">
        <v>636</v>
      </c>
      <c r="D153" s="68" t="s">
        <v>912</v>
      </c>
      <c r="F153" s="63">
        <v>19</v>
      </c>
      <c r="G153" s="64" t="s">
        <v>178</v>
      </c>
      <c r="H153" s="65">
        <v>24377</v>
      </c>
      <c r="I153" s="66" t="s">
        <v>197</v>
      </c>
      <c r="J153" s="66"/>
    </row>
    <row r="154" spans="1:10">
      <c r="A154" s="63">
        <v>20</v>
      </c>
      <c r="B154" s="65">
        <v>24381</v>
      </c>
      <c r="C154" s="66" t="s">
        <v>638</v>
      </c>
      <c r="D154" s="68" t="s">
        <v>913</v>
      </c>
      <c r="F154" s="63">
        <v>20</v>
      </c>
      <c r="G154" s="64" t="s">
        <v>178</v>
      </c>
      <c r="H154" s="65">
        <v>24381</v>
      </c>
      <c r="I154" s="66" t="s">
        <v>198</v>
      </c>
      <c r="J154" s="66"/>
    </row>
    <row r="155" spans="1:10">
      <c r="A155" s="63">
        <v>21</v>
      </c>
      <c r="B155" s="65">
        <v>90032</v>
      </c>
      <c r="C155" s="66" t="s">
        <v>639</v>
      </c>
      <c r="D155" s="68" t="s">
        <v>914</v>
      </c>
      <c r="F155" s="63">
        <v>21</v>
      </c>
      <c r="G155" s="64" t="s">
        <v>178</v>
      </c>
      <c r="H155" s="65">
        <v>90032</v>
      </c>
      <c r="I155" s="66" t="s">
        <v>199</v>
      </c>
      <c r="J155" s="66"/>
    </row>
    <row r="156" spans="1:10">
      <c r="A156" s="63">
        <v>22</v>
      </c>
      <c r="B156" s="65">
        <v>90033</v>
      </c>
      <c r="C156" s="66" t="s">
        <v>640</v>
      </c>
      <c r="D156" s="68" t="s">
        <v>915</v>
      </c>
      <c r="F156" s="63">
        <v>22</v>
      </c>
      <c r="G156" s="64" t="s">
        <v>178</v>
      </c>
      <c r="H156" s="65">
        <v>90033</v>
      </c>
      <c r="I156" s="66" t="s">
        <v>200</v>
      </c>
      <c r="J156" s="66"/>
    </row>
    <row r="157" spans="1:10">
      <c r="A157" s="63">
        <v>23</v>
      </c>
      <c r="B157" s="65">
        <v>90035</v>
      </c>
      <c r="C157" s="66" t="s">
        <v>560</v>
      </c>
      <c r="D157" s="68" t="s">
        <v>916</v>
      </c>
      <c r="F157" s="63">
        <v>23</v>
      </c>
      <c r="G157" s="64" t="s">
        <v>178</v>
      </c>
      <c r="H157" s="65">
        <v>90035</v>
      </c>
      <c r="I157" s="66" t="s">
        <v>201</v>
      </c>
      <c r="J157" s="66"/>
    </row>
    <row r="158" spans="1:10">
      <c r="A158" s="63">
        <v>24</v>
      </c>
      <c r="B158" s="65">
        <v>90036</v>
      </c>
      <c r="C158" s="66" t="s">
        <v>641</v>
      </c>
      <c r="D158" s="68" t="s">
        <v>917</v>
      </c>
      <c r="F158" s="63">
        <v>24</v>
      </c>
      <c r="G158" s="64" t="s">
        <v>178</v>
      </c>
      <c r="H158" s="65">
        <v>90036</v>
      </c>
      <c r="I158" s="66" t="s">
        <v>202</v>
      </c>
      <c r="J158" s="66"/>
    </row>
    <row r="159" spans="1:10">
      <c r="A159" s="63">
        <v>25</v>
      </c>
      <c r="B159" s="65">
        <v>90038</v>
      </c>
      <c r="C159" s="66" t="s">
        <v>642</v>
      </c>
      <c r="D159" s="68" t="s">
        <v>918</v>
      </c>
      <c r="F159" s="63">
        <v>25</v>
      </c>
      <c r="G159" s="64" t="s">
        <v>178</v>
      </c>
      <c r="H159" s="65">
        <v>90038</v>
      </c>
      <c r="I159" s="66" t="s">
        <v>203</v>
      </c>
      <c r="J159" s="66"/>
    </row>
    <row r="160" spans="1:10">
      <c r="A160" s="63">
        <v>26</v>
      </c>
      <c r="B160" s="65">
        <v>90039</v>
      </c>
      <c r="C160" s="66" t="s">
        <v>643</v>
      </c>
      <c r="D160" s="68" t="s">
        <v>919</v>
      </c>
      <c r="F160" s="63">
        <v>26</v>
      </c>
      <c r="G160" s="64" t="s">
        <v>178</v>
      </c>
      <c r="H160" s="65">
        <v>90039</v>
      </c>
      <c r="I160" s="66" t="s">
        <v>204</v>
      </c>
      <c r="J160" s="66"/>
    </row>
    <row r="161" spans="1:10">
      <c r="A161" s="63">
        <v>1</v>
      </c>
      <c r="B161" s="65">
        <v>24012</v>
      </c>
      <c r="C161" s="66" t="s">
        <v>571</v>
      </c>
      <c r="D161" s="68" t="s">
        <v>920</v>
      </c>
      <c r="F161" s="63">
        <v>1</v>
      </c>
      <c r="G161" s="64" t="s">
        <v>205</v>
      </c>
      <c r="H161" s="65">
        <v>24012</v>
      </c>
      <c r="I161" s="66" t="s">
        <v>206</v>
      </c>
      <c r="J161" s="66"/>
    </row>
    <row r="162" spans="1:10">
      <c r="A162" s="63">
        <v>2</v>
      </c>
      <c r="B162" s="65">
        <v>24051</v>
      </c>
      <c r="C162" s="66" t="s">
        <v>644</v>
      </c>
      <c r="D162" s="68" t="s">
        <v>921</v>
      </c>
      <c r="F162" s="63">
        <v>2</v>
      </c>
      <c r="G162" s="64" t="s">
        <v>205</v>
      </c>
      <c r="H162" s="65">
        <v>24051</v>
      </c>
      <c r="I162" s="66" t="s">
        <v>207</v>
      </c>
      <c r="J162" s="66"/>
    </row>
    <row r="163" spans="1:10">
      <c r="A163" s="63">
        <v>3</v>
      </c>
      <c r="B163" s="65">
        <v>24065</v>
      </c>
      <c r="C163" s="66" t="s">
        <v>645</v>
      </c>
      <c r="D163" s="68" t="s">
        <v>922</v>
      </c>
      <c r="F163" s="63">
        <v>3</v>
      </c>
      <c r="G163" s="64" t="s">
        <v>205</v>
      </c>
      <c r="H163" s="65">
        <v>24065</v>
      </c>
      <c r="I163" s="66" t="s">
        <v>208</v>
      </c>
      <c r="J163" s="66"/>
    </row>
    <row r="164" spans="1:10">
      <c r="A164" s="63">
        <v>4</v>
      </c>
      <c r="B164" s="65">
        <v>24075</v>
      </c>
      <c r="C164" s="66" t="s">
        <v>542</v>
      </c>
      <c r="D164" s="68" t="s">
        <v>923</v>
      </c>
      <c r="F164" s="63">
        <v>4</v>
      </c>
      <c r="G164" s="64" t="s">
        <v>205</v>
      </c>
      <c r="H164" s="65">
        <v>24075</v>
      </c>
      <c r="I164" s="66" t="s">
        <v>209</v>
      </c>
      <c r="J164" s="66"/>
    </row>
    <row r="165" spans="1:10">
      <c r="A165" s="63">
        <v>5</v>
      </c>
      <c r="B165" s="65">
        <v>24104</v>
      </c>
      <c r="C165" s="66" t="s">
        <v>646</v>
      </c>
      <c r="D165" s="68" t="s">
        <v>924</v>
      </c>
      <c r="F165" s="63">
        <v>5</v>
      </c>
      <c r="G165" s="64" t="s">
        <v>205</v>
      </c>
      <c r="H165" s="65">
        <v>24104</v>
      </c>
      <c r="I165" s="66" t="s">
        <v>210</v>
      </c>
      <c r="J165" s="66"/>
    </row>
    <row r="166" spans="1:10">
      <c r="A166" s="63">
        <v>6</v>
      </c>
      <c r="B166" s="65">
        <v>24138</v>
      </c>
      <c r="C166" s="66" t="s">
        <v>647</v>
      </c>
      <c r="D166" s="68" t="s">
        <v>925</v>
      </c>
      <c r="F166" s="63">
        <v>6</v>
      </c>
      <c r="G166" s="64" t="s">
        <v>205</v>
      </c>
      <c r="H166" s="65">
        <v>24138</v>
      </c>
      <c r="I166" s="66" t="s">
        <v>211</v>
      </c>
      <c r="J166" s="66"/>
    </row>
    <row r="167" spans="1:10">
      <c r="A167" s="63">
        <v>7</v>
      </c>
      <c r="B167" s="65">
        <v>24142</v>
      </c>
      <c r="C167" s="66" t="s">
        <v>515</v>
      </c>
      <c r="D167" s="68" t="s">
        <v>926</v>
      </c>
      <c r="F167" s="63">
        <v>7</v>
      </c>
      <c r="G167" s="64" t="s">
        <v>205</v>
      </c>
      <c r="H167" s="65">
        <v>24142</v>
      </c>
      <c r="I167" s="66" t="s">
        <v>212</v>
      </c>
      <c r="J167" s="66"/>
    </row>
    <row r="168" spans="1:10">
      <c r="A168" s="63">
        <v>8</v>
      </c>
      <c r="B168" s="65">
        <v>24143</v>
      </c>
      <c r="C168" s="66" t="s">
        <v>628</v>
      </c>
      <c r="D168" s="68" t="s">
        <v>927</v>
      </c>
      <c r="F168" s="63">
        <v>8</v>
      </c>
      <c r="G168" s="64" t="s">
        <v>205</v>
      </c>
      <c r="H168" s="65">
        <v>24143</v>
      </c>
      <c r="I168" s="66" t="s">
        <v>213</v>
      </c>
      <c r="J168" s="66"/>
    </row>
    <row r="169" spans="1:10">
      <c r="A169" s="63">
        <v>9</v>
      </c>
      <c r="B169" s="65">
        <v>24162</v>
      </c>
      <c r="C169" s="66" t="s">
        <v>543</v>
      </c>
      <c r="D169" s="68" t="s">
        <v>928</v>
      </c>
      <c r="F169" s="63">
        <v>9</v>
      </c>
      <c r="G169" s="64" t="s">
        <v>205</v>
      </c>
      <c r="H169" s="65">
        <v>24162</v>
      </c>
      <c r="I169" s="66" t="s">
        <v>214</v>
      </c>
      <c r="J169" s="66"/>
    </row>
    <row r="170" spans="1:10">
      <c r="A170" s="63">
        <v>10</v>
      </c>
      <c r="B170" s="65">
        <v>24168</v>
      </c>
      <c r="C170" s="66" t="s">
        <v>565</v>
      </c>
      <c r="D170" s="68" t="s">
        <v>929</v>
      </c>
      <c r="F170" s="63">
        <v>10</v>
      </c>
      <c r="G170" s="64" t="s">
        <v>205</v>
      </c>
      <c r="H170" s="65">
        <v>24168</v>
      </c>
      <c r="I170" s="66" t="s">
        <v>215</v>
      </c>
      <c r="J170" s="66"/>
    </row>
    <row r="171" spans="1:10">
      <c r="A171" s="63">
        <v>11</v>
      </c>
      <c r="B171" s="65">
        <v>24193</v>
      </c>
      <c r="C171" s="66" t="s">
        <v>649</v>
      </c>
      <c r="D171" s="68" t="s">
        <v>930</v>
      </c>
      <c r="F171" s="63">
        <v>11</v>
      </c>
      <c r="G171" s="64" t="s">
        <v>205</v>
      </c>
      <c r="H171" s="65">
        <v>24193</v>
      </c>
      <c r="I171" s="66" t="s">
        <v>216</v>
      </c>
      <c r="J171" s="66"/>
    </row>
    <row r="172" spans="1:10">
      <c r="A172" s="63">
        <v>12</v>
      </c>
      <c r="B172" s="65">
        <v>24286</v>
      </c>
      <c r="C172" s="66" t="s">
        <v>650</v>
      </c>
      <c r="D172" s="68" t="s">
        <v>931</v>
      </c>
      <c r="F172" s="63">
        <v>12</v>
      </c>
      <c r="G172" s="64" t="s">
        <v>205</v>
      </c>
      <c r="H172" s="65">
        <v>24286</v>
      </c>
      <c r="I172" s="66" t="s">
        <v>217</v>
      </c>
      <c r="J172" s="66"/>
    </row>
    <row r="173" spans="1:10">
      <c r="A173" s="63">
        <v>13</v>
      </c>
      <c r="B173" s="65">
        <v>24288</v>
      </c>
      <c r="C173" s="66" t="s">
        <v>581</v>
      </c>
      <c r="D173" s="68" t="s">
        <v>932</v>
      </c>
      <c r="F173" s="63">
        <v>13</v>
      </c>
      <c r="G173" s="64" t="s">
        <v>205</v>
      </c>
      <c r="H173" s="65">
        <v>24288</v>
      </c>
      <c r="I173" s="66" t="s">
        <v>218</v>
      </c>
      <c r="J173" s="66"/>
    </row>
    <row r="174" spans="1:10">
      <c r="A174" s="63">
        <v>14</v>
      </c>
      <c r="B174" s="65">
        <v>24289</v>
      </c>
      <c r="C174" s="66" t="s">
        <v>628</v>
      </c>
      <c r="D174" s="68" t="s">
        <v>933</v>
      </c>
      <c r="F174" s="63">
        <v>14</v>
      </c>
      <c r="G174" s="64" t="s">
        <v>205</v>
      </c>
      <c r="H174" s="65">
        <v>24289</v>
      </c>
      <c r="I174" s="66" t="s">
        <v>219</v>
      </c>
      <c r="J174" s="66"/>
    </row>
    <row r="175" spans="1:10">
      <c r="A175" s="63">
        <v>15</v>
      </c>
      <c r="B175" s="65">
        <v>24365</v>
      </c>
      <c r="C175" s="66" t="s">
        <v>610</v>
      </c>
      <c r="D175" s="68" t="s">
        <v>934</v>
      </c>
      <c r="F175" s="63">
        <v>15</v>
      </c>
      <c r="G175" s="64" t="s">
        <v>205</v>
      </c>
      <c r="H175" s="65">
        <v>24365</v>
      </c>
      <c r="I175" s="66" t="s">
        <v>220</v>
      </c>
      <c r="J175" s="66"/>
    </row>
    <row r="176" spans="1:10">
      <c r="A176" s="63">
        <v>16</v>
      </c>
      <c r="B176" s="65">
        <v>24366</v>
      </c>
      <c r="C176" s="66" t="s">
        <v>652</v>
      </c>
      <c r="D176" s="68" t="s">
        <v>935</v>
      </c>
      <c r="F176" s="63">
        <v>16</v>
      </c>
      <c r="G176" s="64" t="s">
        <v>205</v>
      </c>
      <c r="H176" s="65">
        <v>24366</v>
      </c>
      <c r="I176" s="66" t="s">
        <v>221</v>
      </c>
      <c r="J176" s="66"/>
    </row>
    <row r="177" spans="1:10">
      <c r="A177" s="63">
        <v>17</v>
      </c>
      <c r="B177" s="65">
        <v>90041</v>
      </c>
      <c r="C177" s="66" t="s">
        <v>653</v>
      </c>
      <c r="D177" s="68" t="s">
        <v>936</v>
      </c>
      <c r="F177" s="63">
        <v>17</v>
      </c>
      <c r="G177" s="64" t="s">
        <v>205</v>
      </c>
      <c r="H177" s="65">
        <v>90041</v>
      </c>
      <c r="I177" s="66" t="s">
        <v>222</v>
      </c>
      <c r="J177" s="66"/>
    </row>
    <row r="178" spans="1:10">
      <c r="A178" s="63">
        <v>18</v>
      </c>
      <c r="B178" s="65">
        <v>90042</v>
      </c>
      <c r="C178" s="66" t="s">
        <v>516</v>
      </c>
      <c r="D178" s="68" t="s">
        <v>937</v>
      </c>
      <c r="F178" s="63">
        <v>18</v>
      </c>
      <c r="G178" s="64" t="s">
        <v>205</v>
      </c>
      <c r="H178" s="65">
        <v>90042</v>
      </c>
      <c r="I178" s="66" t="s">
        <v>223</v>
      </c>
      <c r="J178" s="66"/>
    </row>
    <row r="179" spans="1:10">
      <c r="A179" s="63">
        <v>19</v>
      </c>
      <c r="B179" s="65">
        <v>90043</v>
      </c>
      <c r="C179" s="66" t="s">
        <v>510</v>
      </c>
      <c r="D179" s="68" t="s">
        <v>938</v>
      </c>
      <c r="F179" s="63">
        <v>19</v>
      </c>
      <c r="G179" s="64" t="s">
        <v>205</v>
      </c>
      <c r="H179" s="65">
        <v>90043</v>
      </c>
      <c r="I179" s="66" t="s">
        <v>224</v>
      </c>
      <c r="J179" s="66"/>
    </row>
    <row r="180" spans="1:10">
      <c r="A180" s="63">
        <v>20</v>
      </c>
      <c r="B180" s="65">
        <v>90045</v>
      </c>
      <c r="C180" s="66" t="s">
        <v>570</v>
      </c>
      <c r="D180" s="68" t="s">
        <v>939</v>
      </c>
      <c r="F180" s="63">
        <v>20</v>
      </c>
      <c r="G180" s="64" t="s">
        <v>205</v>
      </c>
      <c r="H180" s="65">
        <v>90045</v>
      </c>
      <c r="I180" s="66" t="s">
        <v>225</v>
      </c>
      <c r="J180" s="66"/>
    </row>
    <row r="181" spans="1:10">
      <c r="A181" s="63">
        <v>21</v>
      </c>
      <c r="B181" s="65">
        <v>90046</v>
      </c>
      <c r="C181" s="66" t="s">
        <v>655</v>
      </c>
      <c r="D181" s="68" t="s">
        <v>940</v>
      </c>
      <c r="F181" s="63">
        <v>21</v>
      </c>
      <c r="G181" s="64" t="s">
        <v>205</v>
      </c>
      <c r="H181" s="65">
        <v>90046</v>
      </c>
      <c r="I181" s="66" t="s">
        <v>226</v>
      </c>
      <c r="J181" s="66"/>
    </row>
    <row r="182" spans="1:10">
      <c r="A182" s="63">
        <v>22</v>
      </c>
      <c r="B182" s="65">
        <v>90047</v>
      </c>
      <c r="C182" s="66" t="s">
        <v>515</v>
      </c>
      <c r="D182" s="68" t="s">
        <v>941</v>
      </c>
      <c r="F182" s="63">
        <v>22</v>
      </c>
      <c r="G182" s="64" t="s">
        <v>205</v>
      </c>
      <c r="H182" s="65">
        <v>90047</v>
      </c>
      <c r="I182" s="66" t="s">
        <v>227</v>
      </c>
      <c r="J182" s="66"/>
    </row>
    <row r="183" spans="1:10">
      <c r="A183" s="63">
        <v>23</v>
      </c>
      <c r="B183" s="65">
        <v>90048</v>
      </c>
      <c r="C183" s="66" t="s">
        <v>656</v>
      </c>
      <c r="D183" s="68" t="s">
        <v>942</v>
      </c>
      <c r="F183" s="63">
        <v>23</v>
      </c>
      <c r="G183" s="64" t="s">
        <v>205</v>
      </c>
      <c r="H183" s="65">
        <v>90048</v>
      </c>
      <c r="I183" s="66" t="s">
        <v>228</v>
      </c>
      <c r="J183" s="66"/>
    </row>
    <row r="184" spans="1:10">
      <c r="A184" s="63">
        <v>24</v>
      </c>
      <c r="B184" s="65">
        <v>90049</v>
      </c>
      <c r="C184" s="66" t="s">
        <v>513</v>
      </c>
      <c r="D184" s="68" t="s">
        <v>943</v>
      </c>
      <c r="F184" s="63">
        <v>24</v>
      </c>
      <c r="G184" s="64" t="s">
        <v>205</v>
      </c>
      <c r="H184" s="65">
        <v>90049</v>
      </c>
      <c r="I184" s="66" t="s">
        <v>229</v>
      </c>
      <c r="J184" s="66"/>
    </row>
    <row r="185" spans="1:10">
      <c r="A185" s="63">
        <v>25</v>
      </c>
      <c r="B185" s="65">
        <v>90050</v>
      </c>
      <c r="C185" s="66" t="s">
        <v>657</v>
      </c>
      <c r="D185" s="68" t="s">
        <v>944</v>
      </c>
      <c r="F185" s="63">
        <v>25</v>
      </c>
      <c r="G185" s="64" t="s">
        <v>205</v>
      </c>
      <c r="H185" s="65">
        <v>90050</v>
      </c>
      <c r="I185" s="66" t="s">
        <v>230</v>
      </c>
      <c r="J185" s="66"/>
    </row>
    <row r="186" spans="1:10">
      <c r="A186" s="63">
        <v>26</v>
      </c>
      <c r="B186" s="65">
        <v>90052</v>
      </c>
      <c r="C186" s="66" t="s">
        <v>519</v>
      </c>
      <c r="D186" s="68" t="s">
        <v>945</v>
      </c>
      <c r="F186" s="63">
        <v>26</v>
      </c>
      <c r="G186" s="64" t="s">
        <v>205</v>
      </c>
      <c r="H186" s="65">
        <v>90052</v>
      </c>
      <c r="I186" s="66" t="s">
        <v>231</v>
      </c>
      <c r="J186" s="66"/>
    </row>
    <row r="187" spans="1:10">
      <c r="A187" s="63">
        <v>27</v>
      </c>
      <c r="B187" s="65">
        <v>90053</v>
      </c>
      <c r="C187" s="66" t="s">
        <v>510</v>
      </c>
      <c r="D187" s="68" t="s">
        <v>946</v>
      </c>
      <c r="F187" s="63">
        <v>27</v>
      </c>
      <c r="G187" s="64" t="s">
        <v>205</v>
      </c>
      <c r="H187" s="65">
        <v>90053</v>
      </c>
      <c r="I187" s="66" t="s">
        <v>232</v>
      </c>
      <c r="J187" s="66"/>
    </row>
    <row r="188" spans="1:10">
      <c r="A188" s="63">
        <v>1</v>
      </c>
      <c r="B188" s="65">
        <v>23</v>
      </c>
      <c r="C188" s="66" t="s">
        <v>579</v>
      </c>
      <c r="D188" s="68" t="s">
        <v>947</v>
      </c>
      <c r="F188" s="63">
        <v>1</v>
      </c>
      <c r="G188" s="64" t="s">
        <v>233</v>
      </c>
      <c r="H188" s="65">
        <v>23</v>
      </c>
      <c r="I188" s="66" t="s">
        <v>234</v>
      </c>
      <c r="J188" s="66"/>
    </row>
    <row r="189" spans="1:10">
      <c r="A189" s="63">
        <v>2</v>
      </c>
      <c r="B189" s="65">
        <v>449</v>
      </c>
      <c r="C189" s="66" t="s">
        <v>658</v>
      </c>
      <c r="D189" s="68" t="s">
        <v>948</v>
      </c>
      <c r="F189" s="63">
        <v>2</v>
      </c>
      <c r="G189" s="64" t="s">
        <v>233</v>
      </c>
      <c r="H189" s="65">
        <v>449</v>
      </c>
      <c r="I189" s="66" t="s">
        <v>235</v>
      </c>
      <c r="J189" s="66"/>
    </row>
    <row r="190" spans="1:10">
      <c r="A190" s="63">
        <v>3</v>
      </c>
      <c r="B190" s="65">
        <v>620</v>
      </c>
      <c r="C190" s="66" t="s">
        <v>543</v>
      </c>
      <c r="D190" s="68" t="s">
        <v>949</v>
      </c>
      <c r="F190" s="63">
        <v>3</v>
      </c>
      <c r="G190" s="64" t="s">
        <v>233</v>
      </c>
      <c r="H190" s="65">
        <v>620</v>
      </c>
      <c r="I190" s="66" t="s">
        <v>236</v>
      </c>
      <c r="J190" s="66"/>
    </row>
    <row r="191" spans="1:10">
      <c r="A191" s="63">
        <v>4</v>
      </c>
      <c r="B191" s="65">
        <v>679</v>
      </c>
      <c r="C191" s="66" t="s">
        <v>659</v>
      </c>
      <c r="D191" s="68" t="s">
        <v>950</v>
      </c>
      <c r="F191" s="63">
        <v>4</v>
      </c>
      <c r="G191" s="64" t="s">
        <v>233</v>
      </c>
      <c r="H191" s="65">
        <v>679</v>
      </c>
      <c r="I191" s="66" t="s">
        <v>237</v>
      </c>
      <c r="J191" s="66"/>
    </row>
    <row r="192" spans="1:10">
      <c r="A192" s="63">
        <v>5</v>
      </c>
      <c r="B192" s="65">
        <v>760</v>
      </c>
      <c r="C192" s="66" t="s">
        <v>660</v>
      </c>
      <c r="D192" s="68" t="s">
        <v>951</v>
      </c>
      <c r="F192" s="63">
        <v>5</v>
      </c>
      <c r="G192" s="64" t="s">
        <v>233</v>
      </c>
      <c r="H192" s="65">
        <v>760</v>
      </c>
      <c r="I192" s="66" t="s">
        <v>238</v>
      </c>
      <c r="J192" s="66"/>
    </row>
    <row r="193" spans="1:10">
      <c r="A193" s="63">
        <v>6</v>
      </c>
      <c r="B193" s="65">
        <v>888</v>
      </c>
      <c r="C193" s="66" t="s">
        <v>648</v>
      </c>
      <c r="D193" s="68" t="s">
        <v>952</v>
      </c>
      <c r="F193" s="63">
        <v>6</v>
      </c>
      <c r="G193" s="64" t="s">
        <v>233</v>
      </c>
      <c r="H193" s="65">
        <v>888</v>
      </c>
      <c r="I193" s="66" t="s">
        <v>239</v>
      </c>
      <c r="J193" s="66"/>
    </row>
    <row r="194" spans="1:10">
      <c r="A194" s="63">
        <v>7</v>
      </c>
      <c r="B194" s="65">
        <v>952</v>
      </c>
      <c r="C194" s="66" t="s">
        <v>549</v>
      </c>
      <c r="D194" s="68" t="s">
        <v>953</v>
      </c>
      <c r="F194" s="63">
        <v>7</v>
      </c>
      <c r="G194" s="64" t="s">
        <v>233</v>
      </c>
      <c r="H194" s="65">
        <v>952</v>
      </c>
      <c r="I194" s="66" t="s">
        <v>240</v>
      </c>
      <c r="J194" s="66"/>
    </row>
    <row r="195" spans="1:10">
      <c r="A195" s="63">
        <v>8</v>
      </c>
      <c r="B195" s="65">
        <v>1225</v>
      </c>
      <c r="C195" s="66" t="s">
        <v>661</v>
      </c>
      <c r="D195" s="68" t="s">
        <v>954</v>
      </c>
      <c r="F195" s="63">
        <v>8</v>
      </c>
      <c r="G195" s="64" t="s">
        <v>233</v>
      </c>
      <c r="H195" s="65">
        <v>1225</v>
      </c>
      <c r="I195" s="66" t="s">
        <v>241</v>
      </c>
      <c r="J195" s="66"/>
    </row>
    <row r="196" spans="1:10">
      <c r="A196" s="63">
        <v>9</v>
      </c>
      <c r="B196" s="65">
        <v>1992</v>
      </c>
      <c r="C196" s="66" t="s">
        <v>662</v>
      </c>
      <c r="D196" s="68" t="s">
        <v>955</v>
      </c>
      <c r="F196" s="63">
        <v>9</v>
      </c>
      <c r="G196" s="64" t="s">
        <v>233</v>
      </c>
      <c r="H196" s="65">
        <v>1992</v>
      </c>
      <c r="I196" s="66" t="s">
        <v>242</v>
      </c>
      <c r="J196" s="66"/>
    </row>
    <row r="197" spans="1:10">
      <c r="A197" s="63">
        <v>10</v>
      </c>
      <c r="B197" s="65">
        <v>2339</v>
      </c>
      <c r="C197" s="66" t="s">
        <v>528</v>
      </c>
      <c r="D197" s="68" t="s">
        <v>956</v>
      </c>
      <c r="F197" s="63">
        <v>10</v>
      </c>
      <c r="G197" s="64" t="s">
        <v>233</v>
      </c>
      <c r="H197" s="65">
        <v>2339</v>
      </c>
      <c r="I197" s="66" t="s">
        <v>243</v>
      </c>
      <c r="J197" s="66"/>
    </row>
    <row r="198" spans="1:10">
      <c r="A198" s="63">
        <v>11</v>
      </c>
      <c r="B198" s="65">
        <v>2351</v>
      </c>
      <c r="C198" s="66" t="s">
        <v>663</v>
      </c>
      <c r="D198" s="68" t="s">
        <v>957</v>
      </c>
      <c r="F198" s="63">
        <v>11</v>
      </c>
      <c r="G198" s="64" t="s">
        <v>233</v>
      </c>
      <c r="H198" s="65">
        <v>2351</v>
      </c>
      <c r="I198" s="66" t="s">
        <v>244</v>
      </c>
      <c r="J198" s="66"/>
    </row>
    <row r="199" spans="1:10">
      <c r="A199" s="63">
        <v>12</v>
      </c>
      <c r="B199" s="65">
        <v>2411</v>
      </c>
      <c r="C199" s="66" t="s">
        <v>664</v>
      </c>
      <c r="D199" s="68" t="s">
        <v>958</v>
      </c>
      <c r="F199" s="63">
        <v>12</v>
      </c>
      <c r="G199" s="64" t="s">
        <v>233</v>
      </c>
      <c r="H199" s="65">
        <v>2411</v>
      </c>
      <c r="I199" s="66" t="s">
        <v>245</v>
      </c>
      <c r="J199" s="66"/>
    </row>
    <row r="200" spans="1:10">
      <c r="A200" s="63">
        <v>13</v>
      </c>
      <c r="B200" s="65">
        <v>2419</v>
      </c>
      <c r="C200" s="66" t="s">
        <v>665</v>
      </c>
      <c r="D200" s="68" t="s">
        <v>959</v>
      </c>
      <c r="F200" s="63">
        <v>13</v>
      </c>
      <c r="G200" s="64" t="s">
        <v>233</v>
      </c>
      <c r="H200" s="65">
        <v>2419</v>
      </c>
      <c r="I200" s="66" t="s">
        <v>246</v>
      </c>
      <c r="J200" s="66"/>
    </row>
    <row r="201" spans="1:10">
      <c r="A201" s="63">
        <v>14</v>
      </c>
      <c r="B201" s="65">
        <v>2448</v>
      </c>
      <c r="C201" s="66" t="s">
        <v>535</v>
      </c>
      <c r="D201" s="68" t="s">
        <v>960</v>
      </c>
      <c r="F201" s="63">
        <v>14</v>
      </c>
      <c r="G201" s="64" t="s">
        <v>233</v>
      </c>
      <c r="H201" s="65">
        <v>2448</v>
      </c>
      <c r="I201" s="66" t="s">
        <v>247</v>
      </c>
      <c r="J201" s="66"/>
    </row>
    <row r="202" spans="1:10">
      <c r="A202" s="63">
        <v>15</v>
      </c>
      <c r="B202" s="65">
        <v>2457</v>
      </c>
      <c r="C202" s="66" t="s">
        <v>628</v>
      </c>
      <c r="D202" s="68" t="s">
        <v>961</v>
      </c>
      <c r="F202" s="63">
        <v>15</v>
      </c>
      <c r="G202" s="64" t="s">
        <v>233</v>
      </c>
      <c r="H202" s="65">
        <v>2457</v>
      </c>
      <c r="I202" s="66" t="s">
        <v>248</v>
      </c>
      <c r="J202" s="66"/>
    </row>
    <row r="203" spans="1:10">
      <c r="A203" s="63">
        <v>16</v>
      </c>
      <c r="B203" s="65">
        <v>2468</v>
      </c>
      <c r="C203" s="66" t="s">
        <v>510</v>
      </c>
      <c r="D203" s="68" t="s">
        <v>962</v>
      </c>
      <c r="F203" s="63">
        <v>16</v>
      </c>
      <c r="G203" s="64" t="s">
        <v>233</v>
      </c>
      <c r="H203" s="65">
        <v>2468</v>
      </c>
      <c r="I203" s="66" t="s">
        <v>249</v>
      </c>
      <c r="J203" s="66"/>
    </row>
    <row r="204" spans="1:10">
      <c r="A204" s="63">
        <v>17</v>
      </c>
      <c r="B204" s="65">
        <v>2505</v>
      </c>
      <c r="C204" s="66" t="s">
        <v>540</v>
      </c>
      <c r="D204" s="68" t="s">
        <v>954</v>
      </c>
      <c r="F204" s="63">
        <v>17</v>
      </c>
      <c r="G204" s="64" t="s">
        <v>233</v>
      </c>
      <c r="H204" s="65">
        <v>2505</v>
      </c>
      <c r="I204" s="66" t="s">
        <v>250</v>
      </c>
      <c r="J204" s="66"/>
    </row>
    <row r="205" spans="1:10">
      <c r="A205" s="63">
        <v>18</v>
      </c>
      <c r="B205" s="65">
        <v>2512</v>
      </c>
      <c r="C205" s="66" t="s">
        <v>666</v>
      </c>
      <c r="D205" s="68" t="s">
        <v>963</v>
      </c>
      <c r="F205" s="63">
        <v>18</v>
      </c>
      <c r="G205" s="64" t="s">
        <v>233</v>
      </c>
      <c r="H205" s="65">
        <v>2512</v>
      </c>
      <c r="I205" s="66" t="s">
        <v>251</v>
      </c>
      <c r="J205" s="66"/>
    </row>
    <row r="206" spans="1:10">
      <c r="A206" s="63">
        <v>19</v>
      </c>
      <c r="B206" s="65">
        <v>2514</v>
      </c>
      <c r="C206" s="66" t="s">
        <v>668</v>
      </c>
      <c r="D206" s="68" t="s">
        <v>879</v>
      </c>
      <c r="F206" s="63">
        <v>19</v>
      </c>
      <c r="G206" s="64" t="s">
        <v>233</v>
      </c>
      <c r="H206" s="65">
        <v>2514</v>
      </c>
      <c r="I206" s="66" t="s">
        <v>252</v>
      </c>
      <c r="J206" s="66"/>
    </row>
    <row r="207" spans="1:10">
      <c r="A207" s="63">
        <v>20</v>
      </c>
      <c r="B207" s="65">
        <v>90054</v>
      </c>
      <c r="C207" s="66" t="s">
        <v>566</v>
      </c>
      <c r="D207" s="68" t="s">
        <v>964</v>
      </c>
      <c r="F207" s="63">
        <v>20</v>
      </c>
      <c r="G207" s="64" t="s">
        <v>233</v>
      </c>
      <c r="H207" s="65">
        <v>90054</v>
      </c>
      <c r="I207" s="66" t="s">
        <v>253</v>
      </c>
      <c r="J207" s="66"/>
    </row>
    <row r="208" spans="1:10">
      <c r="A208" s="63">
        <v>1</v>
      </c>
      <c r="B208" s="65">
        <v>221</v>
      </c>
      <c r="C208" s="66" t="s">
        <v>669</v>
      </c>
      <c r="D208" s="68" t="s">
        <v>965</v>
      </c>
      <c r="F208" s="63">
        <v>1</v>
      </c>
      <c r="G208" s="64" t="s">
        <v>254</v>
      </c>
      <c r="H208" s="65">
        <v>221</v>
      </c>
      <c r="I208" s="66" t="s">
        <v>255</v>
      </c>
      <c r="J208" s="66"/>
    </row>
    <row r="209" spans="1:10">
      <c r="A209" s="63">
        <v>2</v>
      </c>
      <c r="B209" s="65">
        <v>352</v>
      </c>
      <c r="C209" s="66" t="s">
        <v>642</v>
      </c>
      <c r="D209" s="68" t="s">
        <v>966</v>
      </c>
      <c r="F209" s="63">
        <v>2</v>
      </c>
      <c r="G209" s="64" t="s">
        <v>254</v>
      </c>
      <c r="H209" s="65">
        <v>352</v>
      </c>
      <c r="I209" s="66" t="s">
        <v>256</v>
      </c>
      <c r="J209" s="66"/>
    </row>
    <row r="210" spans="1:10">
      <c r="A210" s="63">
        <v>3</v>
      </c>
      <c r="B210" s="65">
        <v>530</v>
      </c>
      <c r="C210" s="66" t="s">
        <v>581</v>
      </c>
      <c r="D210" s="68" t="s">
        <v>967</v>
      </c>
      <c r="F210" s="63">
        <v>3</v>
      </c>
      <c r="G210" s="64" t="s">
        <v>254</v>
      </c>
      <c r="H210" s="65">
        <v>530</v>
      </c>
      <c r="I210" s="66" t="s">
        <v>257</v>
      </c>
      <c r="J210" s="66"/>
    </row>
    <row r="211" spans="1:10">
      <c r="A211" s="63">
        <v>4</v>
      </c>
      <c r="B211" s="65">
        <v>1064</v>
      </c>
      <c r="C211" s="66" t="s">
        <v>545</v>
      </c>
      <c r="D211" s="68" t="s">
        <v>968</v>
      </c>
      <c r="F211" s="63">
        <v>4</v>
      </c>
      <c r="G211" s="64" t="s">
        <v>254</v>
      </c>
      <c r="H211" s="65">
        <v>1064</v>
      </c>
      <c r="I211" s="66" t="s">
        <v>258</v>
      </c>
      <c r="J211" s="66"/>
    </row>
    <row r="212" spans="1:10">
      <c r="A212" s="63">
        <v>5</v>
      </c>
      <c r="B212" s="65">
        <v>1338</v>
      </c>
      <c r="C212" s="66" t="s">
        <v>579</v>
      </c>
      <c r="D212" s="68" t="s">
        <v>844</v>
      </c>
      <c r="F212" s="63">
        <v>5</v>
      </c>
      <c r="G212" s="64" t="s">
        <v>254</v>
      </c>
      <c r="H212" s="65">
        <v>1338</v>
      </c>
      <c r="I212" s="66" t="s">
        <v>259</v>
      </c>
      <c r="J212" s="66"/>
    </row>
    <row r="213" spans="1:10">
      <c r="A213" s="63">
        <v>6</v>
      </c>
      <c r="B213" s="65">
        <v>1754</v>
      </c>
      <c r="C213" s="66" t="s">
        <v>625</v>
      </c>
      <c r="D213" s="68" t="s">
        <v>796</v>
      </c>
      <c r="F213" s="63">
        <v>6</v>
      </c>
      <c r="G213" s="64" t="s">
        <v>254</v>
      </c>
      <c r="H213" s="65">
        <v>1754</v>
      </c>
      <c r="I213" s="66" t="s">
        <v>260</v>
      </c>
      <c r="J213" s="66"/>
    </row>
    <row r="214" spans="1:10">
      <c r="A214" s="63">
        <v>7</v>
      </c>
      <c r="B214" s="65">
        <v>2392</v>
      </c>
      <c r="C214" s="66" t="s">
        <v>670</v>
      </c>
      <c r="D214" s="68" t="s">
        <v>969</v>
      </c>
      <c r="F214" s="63">
        <v>7</v>
      </c>
      <c r="G214" s="64" t="s">
        <v>254</v>
      </c>
      <c r="H214" s="65">
        <v>2392</v>
      </c>
      <c r="I214" s="66" t="s">
        <v>261</v>
      </c>
      <c r="J214" s="66"/>
    </row>
    <row r="215" spans="1:10">
      <c r="A215" s="63">
        <v>8</v>
      </c>
      <c r="B215" s="65">
        <v>2402</v>
      </c>
      <c r="C215" s="66" t="s">
        <v>671</v>
      </c>
      <c r="D215" s="68" t="s">
        <v>970</v>
      </c>
      <c r="F215" s="63">
        <v>8</v>
      </c>
      <c r="G215" s="64" t="s">
        <v>254</v>
      </c>
      <c r="H215" s="65">
        <v>2402</v>
      </c>
      <c r="I215" s="66" t="s">
        <v>262</v>
      </c>
      <c r="J215" s="66"/>
    </row>
    <row r="216" spans="1:10">
      <c r="A216" s="63">
        <v>9</v>
      </c>
      <c r="B216" s="65">
        <v>2417</v>
      </c>
      <c r="C216" s="66" t="s">
        <v>672</v>
      </c>
      <c r="D216" s="68" t="s">
        <v>971</v>
      </c>
      <c r="F216" s="63">
        <v>9</v>
      </c>
      <c r="G216" s="64" t="s">
        <v>254</v>
      </c>
      <c r="H216" s="65">
        <v>2417</v>
      </c>
      <c r="I216" s="66" t="s">
        <v>263</v>
      </c>
      <c r="J216" s="66"/>
    </row>
    <row r="217" spans="1:10">
      <c r="A217" s="63">
        <v>10</v>
      </c>
      <c r="B217" s="65">
        <v>2429</v>
      </c>
      <c r="C217" s="66" t="s">
        <v>673</v>
      </c>
      <c r="D217" s="68" t="s">
        <v>972</v>
      </c>
      <c r="F217" s="63">
        <v>10</v>
      </c>
      <c r="G217" s="64" t="s">
        <v>254</v>
      </c>
      <c r="H217" s="65">
        <v>2429</v>
      </c>
      <c r="I217" s="66" t="s">
        <v>264</v>
      </c>
      <c r="J217" s="66"/>
    </row>
    <row r="218" spans="1:10">
      <c r="A218" s="63">
        <v>11</v>
      </c>
      <c r="B218" s="65">
        <v>2435</v>
      </c>
      <c r="C218" s="66" t="s">
        <v>674</v>
      </c>
      <c r="D218" s="68" t="s">
        <v>973</v>
      </c>
      <c r="F218" s="63">
        <v>11</v>
      </c>
      <c r="G218" s="64" t="s">
        <v>254</v>
      </c>
      <c r="H218" s="65">
        <v>2435</v>
      </c>
      <c r="I218" s="66" t="s">
        <v>265</v>
      </c>
      <c r="J218" s="66"/>
    </row>
    <row r="219" spans="1:10">
      <c r="A219" s="63">
        <v>12</v>
      </c>
      <c r="B219" s="65">
        <v>2504</v>
      </c>
      <c r="C219" s="66" t="s">
        <v>632</v>
      </c>
      <c r="D219" s="68" t="s">
        <v>974</v>
      </c>
      <c r="F219" s="63">
        <v>12</v>
      </c>
      <c r="G219" s="64" t="s">
        <v>254</v>
      </c>
      <c r="H219" s="65">
        <v>2504</v>
      </c>
      <c r="I219" s="66" t="s">
        <v>266</v>
      </c>
      <c r="J219" s="66"/>
    </row>
    <row r="220" spans="1:10">
      <c r="A220" s="63">
        <v>13</v>
      </c>
      <c r="B220" s="65">
        <v>90055</v>
      </c>
      <c r="C220" s="66" t="s">
        <v>625</v>
      </c>
      <c r="D220" s="68" t="s">
        <v>766</v>
      </c>
      <c r="F220" s="63">
        <v>13</v>
      </c>
      <c r="G220" s="64" t="s">
        <v>254</v>
      </c>
      <c r="H220" s="65">
        <v>90055</v>
      </c>
      <c r="I220" s="66" t="s">
        <v>267</v>
      </c>
      <c r="J220" s="66"/>
    </row>
    <row r="221" spans="1:10">
      <c r="A221" s="63">
        <v>14</v>
      </c>
      <c r="B221" s="65">
        <v>90056</v>
      </c>
      <c r="C221" s="66" t="s">
        <v>675</v>
      </c>
      <c r="D221" s="68" t="s">
        <v>975</v>
      </c>
      <c r="F221" s="63">
        <v>14</v>
      </c>
      <c r="G221" s="64" t="s">
        <v>254</v>
      </c>
      <c r="H221" s="65">
        <v>90056</v>
      </c>
      <c r="I221" s="66" t="s">
        <v>268</v>
      </c>
      <c r="J221" s="66"/>
    </row>
    <row r="222" spans="1:10">
      <c r="A222" s="63">
        <v>15</v>
      </c>
      <c r="B222" s="65">
        <v>90057</v>
      </c>
      <c r="C222" s="66" t="s">
        <v>518</v>
      </c>
      <c r="D222" s="68" t="s">
        <v>779</v>
      </c>
      <c r="F222" s="63">
        <v>15</v>
      </c>
      <c r="G222" s="64" t="s">
        <v>254</v>
      </c>
      <c r="H222" s="65">
        <v>90057</v>
      </c>
      <c r="I222" s="66" t="s">
        <v>269</v>
      </c>
      <c r="J222" s="66"/>
    </row>
    <row r="223" spans="1:10">
      <c r="A223" s="63">
        <v>16</v>
      </c>
      <c r="B223" s="65">
        <v>90058</v>
      </c>
      <c r="C223" s="66" t="s">
        <v>676</v>
      </c>
      <c r="D223" s="68" t="s">
        <v>976</v>
      </c>
      <c r="F223" s="63">
        <v>16</v>
      </c>
      <c r="G223" s="64" t="s">
        <v>254</v>
      </c>
      <c r="H223" s="65">
        <v>90058</v>
      </c>
      <c r="I223" s="66" t="s">
        <v>270</v>
      </c>
      <c r="J223" s="66"/>
    </row>
    <row r="224" spans="1:10">
      <c r="A224" s="63">
        <v>17</v>
      </c>
      <c r="B224" s="65">
        <v>90059</v>
      </c>
      <c r="C224" s="66" t="s">
        <v>566</v>
      </c>
      <c r="D224" s="68" t="s">
        <v>977</v>
      </c>
      <c r="F224" s="63">
        <v>17</v>
      </c>
      <c r="G224" s="64" t="s">
        <v>254</v>
      </c>
      <c r="H224" s="65">
        <v>90059</v>
      </c>
      <c r="I224" s="66" t="s">
        <v>271</v>
      </c>
      <c r="J224" s="66"/>
    </row>
    <row r="225" spans="1:10">
      <c r="A225" s="63">
        <v>1</v>
      </c>
      <c r="B225" s="65">
        <v>2462</v>
      </c>
      <c r="C225" s="66" t="s">
        <v>510</v>
      </c>
      <c r="D225" s="68" t="s">
        <v>978</v>
      </c>
      <c r="F225" s="63">
        <v>1</v>
      </c>
      <c r="G225" s="64" t="s">
        <v>272</v>
      </c>
      <c r="H225" s="65">
        <v>2462</v>
      </c>
      <c r="I225" s="66" t="s">
        <v>273</v>
      </c>
      <c r="J225" s="66"/>
    </row>
    <row r="226" spans="1:10">
      <c r="A226" s="63">
        <v>2</v>
      </c>
      <c r="B226" s="65">
        <v>2481</v>
      </c>
      <c r="C226" s="66" t="s">
        <v>649</v>
      </c>
      <c r="D226" s="68" t="s">
        <v>979</v>
      </c>
      <c r="F226" s="63">
        <v>2</v>
      </c>
      <c r="G226" s="64" t="s">
        <v>272</v>
      </c>
      <c r="H226" s="65">
        <v>2481</v>
      </c>
      <c r="I226" s="66" t="s">
        <v>274</v>
      </c>
      <c r="J226" s="66"/>
    </row>
    <row r="227" spans="1:10">
      <c r="A227" s="63">
        <v>3</v>
      </c>
      <c r="B227" s="65">
        <v>2485</v>
      </c>
      <c r="C227" s="66" t="s">
        <v>678</v>
      </c>
      <c r="D227" s="68" t="s">
        <v>980</v>
      </c>
      <c r="F227" s="63">
        <v>3</v>
      </c>
      <c r="G227" s="64" t="s">
        <v>272</v>
      </c>
      <c r="H227" s="65">
        <v>2485</v>
      </c>
      <c r="I227" s="66" t="s">
        <v>275</v>
      </c>
      <c r="J227" s="66"/>
    </row>
    <row r="228" spans="1:10">
      <c r="A228" s="63">
        <v>4</v>
      </c>
      <c r="B228" s="65">
        <v>90060</v>
      </c>
      <c r="C228" s="66" t="s">
        <v>515</v>
      </c>
      <c r="D228" s="68" t="s">
        <v>981</v>
      </c>
      <c r="F228" s="63">
        <v>4</v>
      </c>
      <c r="G228" s="64" t="s">
        <v>272</v>
      </c>
      <c r="H228" s="65">
        <v>90060</v>
      </c>
      <c r="I228" s="66" t="s">
        <v>276</v>
      </c>
      <c r="J228" s="66"/>
    </row>
    <row r="229" spans="1:10">
      <c r="A229" s="63">
        <v>1</v>
      </c>
      <c r="B229" s="65">
        <v>380</v>
      </c>
      <c r="C229" s="66" t="s">
        <v>679</v>
      </c>
      <c r="D229" s="68" t="s">
        <v>982</v>
      </c>
      <c r="F229" s="63">
        <v>1</v>
      </c>
      <c r="G229" s="64" t="s">
        <v>277</v>
      </c>
      <c r="H229" s="65">
        <v>380</v>
      </c>
      <c r="I229" s="66" t="s">
        <v>278</v>
      </c>
      <c r="J229" s="66"/>
    </row>
    <row r="230" spans="1:10">
      <c r="A230" s="63">
        <v>2</v>
      </c>
      <c r="B230" s="65">
        <v>2517</v>
      </c>
      <c r="C230" s="66" t="s">
        <v>597</v>
      </c>
      <c r="D230" s="68" t="s">
        <v>983</v>
      </c>
      <c r="F230" s="63">
        <v>2</v>
      </c>
      <c r="G230" s="64" t="s">
        <v>277</v>
      </c>
      <c r="H230" s="65">
        <v>2517</v>
      </c>
      <c r="I230" s="66" t="s">
        <v>279</v>
      </c>
      <c r="J230" s="66"/>
    </row>
    <row r="231" spans="1:10">
      <c r="A231" s="63">
        <v>1</v>
      </c>
      <c r="B231" s="65">
        <v>317</v>
      </c>
      <c r="C231" s="66" t="s">
        <v>680</v>
      </c>
      <c r="D231" s="68" t="s">
        <v>984</v>
      </c>
      <c r="F231" s="63">
        <v>1</v>
      </c>
      <c r="G231" s="64" t="s">
        <v>280</v>
      </c>
      <c r="H231" s="65">
        <v>317</v>
      </c>
      <c r="I231" s="66" t="s">
        <v>281</v>
      </c>
      <c r="J231" s="66"/>
    </row>
    <row r="232" spans="1:10">
      <c r="A232" s="63">
        <v>2</v>
      </c>
      <c r="B232" s="65">
        <v>331</v>
      </c>
      <c r="C232" s="66" t="s">
        <v>549</v>
      </c>
      <c r="D232" s="68" t="s">
        <v>985</v>
      </c>
      <c r="F232" s="63">
        <v>2</v>
      </c>
      <c r="G232" s="64" t="s">
        <v>280</v>
      </c>
      <c r="H232" s="65">
        <v>331</v>
      </c>
      <c r="I232" s="66" t="s">
        <v>282</v>
      </c>
      <c r="J232" s="66"/>
    </row>
    <row r="233" spans="1:10">
      <c r="A233" s="63">
        <v>3</v>
      </c>
      <c r="B233" s="65">
        <v>404</v>
      </c>
      <c r="C233" s="66" t="s">
        <v>681</v>
      </c>
      <c r="D233" s="68" t="s">
        <v>986</v>
      </c>
      <c r="F233" s="63">
        <v>3</v>
      </c>
      <c r="G233" s="64" t="s">
        <v>280</v>
      </c>
      <c r="H233" s="65">
        <v>404</v>
      </c>
      <c r="I233" s="66" t="s">
        <v>283</v>
      </c>
      <c r="J233" s="66"/>
    </row>
    <row r="234" spans="1:10">
      <c r="A234" s="63">
        <v>4</v>
      </c>
      <c r="B234" s="65">
        <v>418</v>
      </c>
      <c r="C234" s="66" t="s">
        <v>593</v>
      </c>
      <c r="D234" s="68" t="s">
        <v>987</v>
      </c>
      <c r="F234" s="63">
        <v>4</v>
      </c>
      <c r="G234" s="64" t="s">
        <v>280</v>
      </c>
      <c r="H234" s="65">
        <v>418</v>
      </c>
      <c r="I234" s="66" t="s">
        <v>284</v>
      </c>
      <c r="J234" s="66"/>
    </row>
    <row r="235" spans="1:10">
      <c r="A235" s="63">
        <v>5</v>
      </c>
      <c r="B235" s="65">
        <v>466</v>
      </c>
      <c r="C235" s="66" t="s">
        <v>682</v>
      </c>
      <c r="D235" s="68" t="s">
        <v>988</v>
      </c>
      <c r="F235" s="63">
        <v>5</v>
      </c>
      <c r="G235" s="64" t="s">
        <v>280</v>
      </c>
      <c r="H235" s="65">
        <v>466</v>
      </c>
      <c r="I235" s="66" t="s">
        <v>285</v>
      </c>
      <c r="J235" s="66"/>
    </row>
    <row r="236" spans="1:10">
      <c r="A236" s="63">
        <v>6</v>
      </c>
      <c r="B236" s="65">
        <v>580</v>
      </c>
      <c r="C236" s="66" t="s">
        <v>683</v>
      </c>
      <c r="D236" s="68" t="s">
        <v>989</v>
      </c>
      <c r="F236" s="63">
        <v>6</v>
      </c>
      <c r="G236" s="64" t="s">
        <v>280</v>
      </c>
      <c r="H236" s="65">
        <v>580</v>
      </c>
      <c r="I236" s="66" t="s">
        <v>286</v>
      </c>
      <c r="J236" s="66"/>
    </row>
    <row r="237" spans="1:10">
      <c r="A237" s="63">
        <v>7</v>
      </c>
      <c r="B237" s="65">
        <v>1186</v>
      </c>
      <c r="C237" s="66" t="s">
        <v>684</v>
      </c>
      <c r="D237" s="68" t="s">
        <v>990</v>
      </c>
      <c r="F237" s="63">
        <v>7</v>
      </c>
      <c r="G237" s="64" t="s">
        <v>280</v>
      </c>
      <c r="H237" s="65">
        <v>1186</v>
      </c>
      <c r="I237" s="66" t="s">
        <v>287</v>
      </c>
      <c r="J237" s="66"/>
    </row>
    <row r="238" spans="1:10">
      <c r="A238" s="63">
        <v>8</v>
      </c>
      <c r="B238" s="65">
        <v>1397</v>
      </c>
      <c r="C238" s="66" t="s">
        <v>685</v>
      </c>
      <c r="D238" s="68" t="s">
        <v>991</v>
      </c>
      <c r="F238" s="63">
        <v>8</v>
      </c>
      <c r="G238" s="64" t="s">
        <v>280</v>
      </c>
      <c r="H238" s="65">
        <v>1397</v>
      </c>
      <c r="I238" s="66" t="s">
        <v>288</v>
      </c>
      <c r="J238" s="66"/>
    </row>
    <row r="239" spans="1:10">
      <c r="A239" s="63">
        <v>9</v>
      </c>
      <c r="B239" s="65">
        <v>1565</v>
      </c>
      <c r="C239" s="66" t="s">
        <v>686</v>
      </c>
      <c r="D239" s="68" t="s">
        <v>992</v>
      </c>
      <c r="F239" s="63">
        <v>9</v>
      </c>
      <c r="G239" s="64" t="s">
        <v>280</v>
      </c>
      <c r="H239" s="65">
        <v>1565</v>
      </c>
      <c r="I239" s="66" t="s">
        <v>289</v>
      </c>
      <c r="J239" s="66"/>
    </row>
    <row r="240" spans="1:10">
      <c r="A240" s="63">
        <v>10</v>
      </c>
      <c r="B240" s="65">
        <v>1629</v>
      </c>
      <c r="C240" s="66" t="s">
        <v>687</v>
      </c>
      <c r="D240" s="68" t="s">
        <v>993</v>
      </c>
      <c r="F240" s="63">
        <v>10</v>
      </c>
      <c r="G240" s="64" t="s">
        <v>280</v>
      </c>
      <c r="H240" s="65">
        <v>1629</v>
      </c>
      <c r="I240" s="66" t="s">
        <v>290</v>
      </c>
      <c r="J240" s="66"/>
    </row>
    <row r="241" spans="1:10">
      <c r="A241" s="63">
        <v>11</v>
      </c>
      <c r="B241" s="65">
        <v>1830</v>
      </c>
      <c r="C241" s="66" t="s">
        <v>688</v>
      </c>
      <c r="D241" s="68" t="s">
        <v>994</v>
      </c>
      <c r="F241" s="63">
        <v>11</v>
      </c>
      <c r="G241" s="64" t="s">
        <v>280</v>
      </c>
      <c r="H241" s="65">
        <v>1830</v>
      </c>
      <c r="I241" s="66" t="s">
        <v>291</v>
      </c>
      <c r="J241" s="66"/>
    </row>
    <row r="242" spans="1:10">
      <c r="A242" s="63">
        <v>12</v>
      </c>
      <c r="B242" s="65">
        <v>1843</v>
      </c>
      <c r="C242" s="66" t="s">
        <v>689</v>
      </c>
      <c r="D242" s="68" t="s">
        <v>995</v>
      </c>
      <c r="F242" s="63">
        <v>12</v>
      </c>
      <c r="G242" s="64" t="s">
        <v>280</v>
      </c>
      <c r="H242" s="65">
        <v>1843</v>
      </c>
      <c r="I242" s="66" t="s">
        <v>292</v>
      </c>
      <c r="J242" s="66"/>
    </row>
    <row r="243" spans="1:10">
      <c r="A243" s="63">
        <v>13</v>
      </c>
      <c r="B243" s="65">
        <v>1925</v>
      </c>
      <c r="C243" s="66" t="s">
        <v>686</v>
      </c>
      <c r="D243" s="68" t="s">
        <v>879</v>
      </c>
      <c r="F243" s="63">
        <v>13</v>
      </c>
      <c r="G243" s="64" t="s">
        <v>280</v>
      </c>
      <c r="H243" s="65">
        <v>1925</v>
      </c>
      <c r="I243" s="66" t="s">
        <v>293</v>
      </c>
      <c r="J243" s="66"/>
    </row>
    <row r="244" spans="1:10">
      <c r="A244" s="63">
        <v>14</v>
      </c>
      <c r="B244" s="65">
        <v>1951</v>
      </c>
      <c r="C244" s="66" t="s">
        <v>690</v>
      </c>
      <c r="D244" s="68" t="s">
        <v>996</v>
      </c>
      <c r="F244" s="63">
        <v>14</v>
      </c>
      <c r="G244" s="64" t="s">
        <v>280</v>
      </c>
      <c r="H244" s="65">
        <v>1951</v>
      </c>
      <c r="I244" s="66" t="s">
        <v>294</v>
      </c>
      <c r="J244" s="66"/>
    </row>
    <row r="245" spans="1:10">
      <c r="A245" s="63">
        <v>15</v>
      </c>
      <c r="B245" s="65">
        <v>2145</v>
      </c>
      <c r="C245" s="66" t="s">
        <v>691</v>
      </c>
      <c r="D245" s="68" t="s">
        <v>790</v>
      </c>
      <c r="F245" s="63">
        <v>15</v>
      </c>
      <c r="G245" s="64" t="s">
        <v>280</v>
      </c>
      <c r="H245" s="65">
        <v>2145</v>
      </c>
      <c r="I245" s="66" t="s">
        <v>295</v>
      </c>
      <c r="J245" s="66"/>
    </row>
    <row r="246" spans="1:10">
      <c r="A246" s="63">
        <v>16</v>
      </c>
      <c r="B246" s="65">
        <v>2291</v>
      </c>
      <c r="C246" s="66" t="s">
        <v>692</v>
      </c>
      <c r="D246" s="68" t="s">
        <v>997</v>
      </c>
      <c r="F246" s="63">
        <v>16</v>
      </c>
      <c r="G246" s="64" t="s">
        <v>280</v>
      </c>
      <c r="H246" s="65">
        <v>2291</v>
      </c>
      <c r="I246" s="66" t="s">
        <v>296</v>
      </c>
      <c r="J246" s="66"/>
    </row>
    <row r="247" spans="1:10">
      <c r="A247" s="63">
        <v>17</v>
      </c>
      <c r="B247" s="65">
        <v>2295</v>
      </c>
      <c r="C247" s="66" t="s">
        <v>580</v>
      </c>
      <c r="D247" s="68" t="s">
        <v>998</v>
      </c>
      <c r="F247" s="63">
        <v>17</v>
      </c>
      <c r="G247" s="64" t="s">
        <v>280</v>
      </c>
      <c r="H247" s="65">
        <v>2295</v>
      </c>
      <c r="I247" s="66" t="s">
        <v>297</v>
      </c>
      <c r="J247" s="66"/>
    </row>
    <row r="248" spans="1:10">
      <c r="A248" s="63">
        <v>18</v>
      </c>
      <c r="B248" s="65">
        <v>2296</v>
      </c>
      <c r="C248" s="66" t="s">
        <v>683</v>
      </c>
      <c r="D248" s="68" t="s">
        <v>999</v>
      </c>
      <c r="F248" s="63">
        <v>18</v>
      </c>
      <c r="G248" s="64" t="s">
        <v>280</v>
      </c>
      <c r="H248" s="65">
        <v>2296</v>
      </c>
      <c r="I248" s="66" t="s">
        <v>298</v>
      </c>
      <c r="J248" s="66"/>
    </row>
    <row r="249" spans="1:10">
      <c r="A249" s="63">
        <v>19</v>
      </c>
      <c r="B249" s="65">
        <v>2298</v>
      </c>
      <c r="C249" s="66" t="s">
        <v>693</v>
      </c>
      <c r="D249" s="68" t="s">
        <v>1000</v>
      </c>
      <c r="F249" s="63">
        <v>19</v>
      </c>
      <c r="G249" s="64" t="s">
        <v>280</v>
      </c>
      <c r="H249" s="65">
        <v>2298</v>
      </c>
      <c r="I249" s="66" t="s">
        <v>299</v>
      </c>
      <c r="J249" s="66"/>
    </row>
    <row r="250" spans="1:10">
      <c r="A250" s="63">
        <v>20</v>
      </c>
      <c r="B250" s="65">
        <v>2309</v>
      </c>
      <c r="C250" s="66" t="s">
        <v>549</v>
      </c>
      <c r="D250" s="68" t="s">
        <v>1001</v>
      </c>
      <c r="F250" s="63">
        <v>20</v>
      </c>
      <c r="G250" s="64" t="s">
        <v>280</v>
      </c>
      <c r="H250" s="65">
        <v>2309</v>
      </c>
      <c r="I250" s="66" t="s">
        <v>300</v>
      </c>
      <c r="J250" s="66"/>
    </row>
    <row r="251" spans="1:10">
      <c r="A251" s="63">
        <v>21</v>
      </c>
      <c r="B251" s="65">
        <v>2321</v>
      </c>
      <c r="C251" s="66" t="s">
        <v>533</v>
      </c>
      <c r="D251" s="68" t="s">
        <v>1002</v>
      </c>
      <c r="F251" s="63">
        <v>21</v>
      </c>
      <c r="G251" s="64" t="s">
        <v>280</v>
      </c>
      <c r="H251" s="65">
        <v>2321</v>
      </c>
      <c r="I251" s="66" t="s">
        <v>301</v>
      </c>
      <c r="J251" s="66"/>
    </row>
    <row r="252" spans="1:10">
      <c r="A252" s="63">
        <v>22</v>
      </c>
      <c r="B252" s="65">
        <v>2332</v>
      </c>
      <c r="C252" s="66" t="s">
        <v>543</v>
      </c>
      <c r="D252" s="68" t="s">
        <v>1003</v>
      </c>
      <c r="F252" s="63">
        <v>22</v>
      </c>
      <c r="G252" s="64" t="s">
        <v>280</v>
      </c>
      <c r="H252" s="65">
        <v>2332</v>
      </c>
      <c r="I252" s="66" t="s">
        <v>302</v>
      </c>
      <c r="J252" s="66"/>
    </row>
    <row r="253" spans="1:10">
      <c r="A253" s="63">
        <v>23</v>
      </c>
      <c r="B253" s="65">
        <v>2333</v>
      </c>
      <c r="C253" s="66" t="s">
        <v>694</v>
      </c>
      <c r="D253" s="68" t="s">
        <v>1004</v>
      </c>
      <c r="F253" s="63">
        <v>23</v>
      </c>
      <c r="G253" s="64" t="s">
        <v>280</v>
      </c>
      <c r="H253" s="65">
        <v>2333</v>
      </c>
      <c r="I253" s="66" t="s">
        <v>303</v>
      </c>
      <c r="J253" s="66"/>
    </row>
    <row r="254" spans="1:10">
      <c r="A254" s="63">
        <v>24</v>
      </c>
      <c r="B254" s="65">
        <v>2348</v>
      </c>
      <c r="C254" s="66" t="s">
        <v>695</v>
      </c>
      <c r="D254" s="68" t="s">
        <v>1005</v>
      </c>
      <c r="F254" s="63">
        <v>24</v>
      </c>
      <c r="G254" s="64" t="s">
        <v>280</v>
      </c>
      <c r="H254" s="65">
        <v>2348</v>
      </c>
      <c r="I254" s="66" t="s">
        <v>304</v>
      </c>
      <c r="J254" s="66"/>
    </row>
    <row r="255" spans="1:10">
      <c r="A255" s="63">
        <v>25</v>
      </c>
      <c r="B255" s="65">
        <v>2360</v>
      </c>
      <c r="C255" s="66" t="s">
        <v>609</v>
      </c>
      <c r="D255" s="68" t="s">
        <v>1006</v>
      </c>
      <c r="F255" s="63">
        <v>25</v>
      </c>
      <c r="G255" s="64" t="s">
        <v>280</v>
      </c>
      <c r="H255" s="65">
        <v>2360</v>
      </c>
      <c r="I255" s="66" t="s">
        <v>305</v>
      </c>
      <c r="J255" s="66"/>
    </row>
    <row r="256" spans="1:10">
      <c r="A256" s="63">
        <v>26</v>
      </c>
      <c r="B256" s="65">
        <v>2365</v>
      </c>
      <c r="C256" s="66" t="s">
        <v>565</v>
      </c>
      <c r="D256" s="68" t="s">
        <v>943</v>
      </c>
      <c r="F256" s="63">
        <v>26</v>
      </c>
      <c r="G256" s="64" t="s">
        <v>280</v>
      </c>
      <c r="H256" s="65">
        <v>2365</v>
      </c>
      <c r="I256" s="66" t="s">
        <v>306</v>
      </c>
      <c r="J256" s="66"/>
    </row>
    <row r="257" spans="1:10">
      <c r="A257" s="63">
        <v>27</v>
      </c>
      <c r="B257" s="65">
        <v>2377</v>
      </c>
      <c r="C257" s="66" t="s">
        <v>510</v>
      </c>
      <c r="D257" s="68" t="s">
        <v>1007</v>
      </c>
      <c r="F257" s="63">
        <v>27</v>
      </c>
      <c r="G257" s="64" t="s">
        <v>280</v>
      </c>
      <c r="H257" s="65">
        <v>2377</v>
      </c>
      <c r="I257" s="66" t="s">
        <v>307</v>
      </c>
      <c r="J257" s="66"/>
    </row>
    <row r="258" spans="1:10">
      <c r="A258" s="63">
        <v>28</v>
      </c>
      <c r="B258" s="65">
        <v>2381</v>
      </c>
      <c r="C258" s="66" t="s">
        <v>516</v>
      </c>
      <c r="D258" s="68" t="s">
        <v>1008</v>
      </c>
      <c r="F258" s="63">
        <v>28</v>
      </c>
      <c r="G258" s="64" t="s">
        <v>280</v>
      </c>
      <c r="H258" s="65">
        <v>2381</v>
      </c>
      <c r="I258" s="66" t="s">
        <v>308</v>
      </c>
      <c r="J258" s="66"/>
    </row>
    <row r="259" spans="1:10">
      <c r="A259" s="63">
        <v>29</v>
      </c>
      <c r="B259" s="65">
        <v>2384</v>
      </c>
      <c r="C259" s="66" t="s">
        <v>696</v>
      </c>
      <c r="D259" s="68" t="s">
        <v>1009</v>
      </c>
      <c r="F259" s="63">
        <v>29</v>
      </c>
      <c r="G259" s="64" t="s">
        <v>280</v>
      </c>
      <c r="H259" s="65">
        <v>2384</v>
      </c>
      <c r="I259" s="66" t="s">
        <v>309</v>
      </c>
      <c r="J259" s="66"/>
    </row>
    <row r="260" spans="1:10">
      <c r="A260" s="63">
        <v>30</v>
      </c>
      <c r="B260" s="65">
        <v>90062</v>
      </c>
      <c r="C260" s="66" t="s">
        <v>694</v>
      </c>
      <c r="D260" s="68" t="s">
        <v>1010</v>
      </c>
      <c r="F260" s="63">
        <v>30</v>
      </c>
      <c r="G260" s="64" t="s">
        <v>280</v>
      </c>
      <c r="H260" s="65">
        <v>90062</v>
      </c>
      <c r="I260" s="66" t="s">
        <v>310</v>
      </c>
      <c r="J260" s="66"/>
    </row>
    <row r="261" spans="1:10">
      <c r="A261" s="63">
        <v>1</v>
      </c>
      <c r="B261" s="65">
        <v>162</v>
      </c>
      <c r="C261" s="66" t="s">
        <v>694</v>
      </c>
      <c r="D261" s="68" t="s">
        <v>1011</v>
      </c>
      <c r="F261" s="63">
        <v>1</v>
      </c>
      <c r="G261" s="64" t="s">
        <v>311</v>
      </c>
      <c r="H261" s="65">
        <v>162</v>
      </c>
      <c r="I261" s="66" t="s">
        <v>312</v>
      </c>
      <c r="J261" s="66"/>
    </row>
    <row r="262" spans="1:10">
      <c r="A262" s="63">
        <v>2</v>
      </c>
      <c r="B262" s="65">
        <v>345</v>
      </c>
      <c r="C262" s="66" t="s">
        <v>697</v>
      </c>
      <c r="D262" s="68" t="s">
        <v>1012</v>
      </c>
      <c r="F262" s="63">
        <v>2</v>
      </c>
      <c r="G262" s="64" t="s">
        <v>311</v>
      </c>
      <c r="H262" s="65">
        <v>345</v>
      </c>
      <c r="I262" s="66" t="s">
        <v>313</v>
      </c>
      <c r="J262" s="66"/>
    </row>
    <row r="263" spans="1:10">
      <c r="A263" s="63">
        <v>3</v>
      </c>
      <c r="B263" s="65">
        <v>393</v>
      </c>
      <c r="C263" s="66" t="s">
        <v>698</v>
      </c>
      <c r="D263" s="68" t="s">
        <v>1013</v>
      </c>
      <c r="F263" s="63">
        <v>3</v>
      </c>
      <c r="G263" s="64" t="s">
        <v>311</v>
      </c>
      <c r="H263" s="65">
        <v>393</v>
      </c>
      <c r="I263" s="66" t="s">
        <v>314</v>
      </c>
      <c r="J263" s="66"/>
    </row>
    <row r="264" spans="1:10">
      <c r="A264" s="63">
        <v>4</v>
      </c>
      <c r="B264" s="65">
        <v>1031</v>
      </c>
      <c r="C264" s="66" t="s">
        <v>545</v>
      </c>
      <c r="D264" s="68" t="s">
        <v>1014</v>
      </c>
      <c r="F264" s="63">
        <v>4</v>
      </c>
      <c r="G264" s="64" t="s">
        <v>311</v>
      </c>
      <c r="H264" s="65">
        <v>1031</v>
      </c>
      <c r="I264" s="66" t="s">
        <v>315</v>
      </c>
      <c r="J264" s="66"/>
    </row>
    <row r="265" spans="1:10">
      <c r="A265" s="63">
        <v>5</v>
      </c>
      <c r="B265" s="65">
        <v>1069</v>
      </c>
      <c r="C265" s="66" t="s">
        <v>699</v>
      </c>
      <c r="D265" s="68" t="s">
        <v>1015</v>
      </c>
      <c r="F265" s="63">
        <v>5</v>
      </c>
      <c r="G265" s="64" t="s">
        <v>311</v>
      </c>
      <c r="H265" s="65">
        <v>1069</v>
      </c>
      <c r="I265" s="66" t="s">
        <v>316</v>
      </c>
      <c r="J265" s="66"/>
    </row>
    <row r="266" spans="1:10">
      <c r="A266" s="63">
        <v>6</v>
      </c>
      <c r="B266" s="65">
        <v>1072</v>
      </c>
      <c r="C266" s="66" t="s">
        <v>628</v>
      </c>
      <c r="D266" s="68" t="s">
        <v>1016</v>
      </c>
      <c r="F266" s="63">
        <v>6</v>
      </c>
      <c r="G266" s="64" t="s">
        <v>311</v>
      </c>
      <c r="H266" s="65">
        <v>1072</v>
      </c>
      <c r="I266" s="66" t="s">
        <v>317</v>
      </c>
      <c r="J266" s="66"/>
    </row>
    <row r="267" spans="1:10">
      <c r="A267" s="63">
        <v>7</v>
      </c>
      <c r="B267" s="65">
        <v>1104</v>
      </c>
      <c r="C267" s="66" t="s">
        <v>700</v>
      </c>
      <c r="D267" s="68" t="s">
        <v>1017</v>
      </c>
      <c r="F267" s="63">
        <v>7</v>
      </c>
      <c r="G267" s="64" t="s">
        <v>311</v>
      </c>
      <c r="H267" s="65">
        <v>1104</v>
      </c>
      <c r="I267" s="66" t="s">
        <v>318</v>
      </c>
      <c r="J267" s="66"/>
    </row>
    <row r="268" spans="1:10">
      <c r="A268" s="63">
        <v>8</v>
      </c>
      <c r="B268" s="65">
        <v>1939</v>
      </c>
      <c r="C268" s="66" t="s">
        <v>579</v>
      </c>
      <c r="D268" s="68" t="s">
        <v>1018</v>
      </c>
      <c r="F268" s="63">
        <v>8</v>
      </c>
      <c r="G268" s="64" t="s">
        <v>311</v>
      </c>
      <c r="H268" s="65">
        <v>1939</v>
      </c>
      <c r="I268" s="66" t="s">
        <v>319</v>
      </c>
      <c r="J268" s="66"/>
    </row>
    <row r="269" spans="1:10">
      <c r="A269" s="63">
        <v>9</v>
      </c>
      <c r="B269" s="65">
        <v>2076</v>
      </c>
      <c r="C269" s="66" t="s">
        <v>514</v>
      </c>
      <c r="D269" s="68" t="s">
        <v>1019</v>
      </c>
      <c r="F269" s="63">
        <v>9</v>
      </c>
      <c r="G269" s="64" t="s">
        <v>311</v>
      </c>
      <c r="H269" s="65">
        <v>2076</v>
      </c>
      <c r="I269" s="66" t="s">
        <v>320</v>
      </c>
      <c r="J269" s="66"/>
    </row>
    <row r="270" spans="1:10">
      <c r="A270" s="63">
        <v>10</v>
      </c>
      <c r="B270" s="65">
        <v>2218</v>
      </c>
      <c r="C270" s="66" t="s">
        <v>701</v>
      </c>
      <c r="D270" s="68" t="s">
        <v>1020</v>
      </c>
      <c r="F270" s="63">
        <v>10</v>
      </c>
      <c r="G270" s="64" t="s">
        <v>311</v>
      </c>
      <c r="H270" s="65">
        <v>2218</v>
      </c>
      <c r="I270" s="66" t="s">
        <v>321</v>
      </c>
      <c r="J270" s="66"/>
    </row>
    <row r="271" spans="1:10">
      <c r="A271" s="63">
        <v>11</v>
      </c>
      <c r="B271" s="65">
        <v>2292</v>
      </c>
      <c r="C271" s="66" t="s">
        <v>702</v>
      </c>
      <c r="D271" s="68" t="s">
        <v>1021</v>
      </c>
      <c r="F271" s="63">
        <v>11</v>
      </c>
      <c r="G271" s="64" t="s">
        <v>311</v>
      </c>
      <c r="H271" s="65">
        <v>2292</v>
      </c>
      <c r="I271" s="66" t="s">
        <v>322</v>
      </c>
      <c r="J271" s="66"/>
    </row>
    <row r="272" spans="1:10">
      <c r="A272" s="63">
        <v>12</v>
      </c>
      <c r="B272" s="65">
        <v>2300</v>
      </c>
      <c r="C272" s="66" t="s">
        <v>570</v>
      </c>
      <c r="D272" s="68" t="s">
        <v>1022</v>
      </c>
      <c r="F272" s="63">
        <v>12</v>
      </c>
      <c r="G272" s="64" t="s">
        <v>311</v>
      </c>
      <c r="H272" s="65">
        <v>2300</v>
      </c>
      <c r="I272" s="66" t="s">
        <v>323</v>
      </c>
      <c r="J272" s="66"/>
    </row>
    <row r="273" spans="1:10">
      <c r="A273" s="63">
        <v>13</v>
      </c>
      <c r="B273" s="65">
        <v>2312</v>
      </c>
      <c r="C273" s="66" t="s">
        <v>703</v>
      </c>
      <c r="D273" s="68" t="s">
        <v>1023</v>
      </c>
      <c r="F273" s="63">
        <v>13</v>
      </c>
      <c r="G273" s="64" t="s">
        <v>311</v>
      </c>
      <c r="H273" s="65">
        <v>2312</v>
      </c>
      <c r="I273" s="66" t="s">
        <v>324</v>
      </c>
      <c r="J273" s="66"/>
    </row>
    <row r="274" spans="1:10">
      <c r="A274" s="63">
        <v>14</v>
      </c>
      <c r="B274" s="65">
        <v>2327</v>
      </c>
      <c r="C274" s="66" t="s">
        <v>704</v>
      </c>
      <c r="D274" s="68" t="s">
        <v>1024</v>
      </c>
      <c r="F274" s="63">
        <v>14</v>
      </c>
      <c r="G274" s="64" t="s">
        <v>311</v>
      </c>
      <c r="H274" s="65">
        <v>2327</v>
      </c>
      <c r="I274" s="66" t="s">
        <v>325</v>
      </c>
      <c r="J274" s="66"/>
    </row>
    <row r="275" spans="1:10">
      <c r="A275" s="63">
        <v>15</v>
      </c>
      <c r="B275" s="65">
        <v>2335</v>
      </c>
      <c r="C275" s="66" t="s">
        <v>518</v>
      </c>
      <c r="D275" s="68" t="s">
        <v>488</v>
      </c>
      <c r="F275" s="63">
        <v>15</v>
      </c>
      <c r="G275" s="64" t="s">
        <v>311</v>
      </c>
      <c r="H275" s="65">
        <v>2335</v>
      </c>
      <c r="I275" s="66" t="s">
        <v>326</v>
      </c>
      <c r="J275" s="66"/>
    </row>
    <row r="276" spans="1:10">
      <c r="A276" s="63">
        <v>16</v>
      </c>
      <c r="B276" s="65">
        <v>2336</v>
      </c>
      <c r="C276" s="66" t="s">
        <v>538</v>
      </c>
      <c r="D276" s="68" t="s">
        <v>1025</v>
      </c>
      <c r="F276" s="63">
        <v>16</v>
      </c>
      <c r="G276" s="64" t="s">
        <v>311</v>
      </c>
      <c r="H276" s="65">
        <v>2336</v>
      </c>
      <c r="I276" s="66" t="s">
        <v>327</v>
      </c>
      <c r="J276" s="66"/>
    </row>
    <row r="277" spans="1:10">
      <c r="A277" s="63">
        <v>17</v>
      </c>
      <c r="B277" s="65">
        <v>2354</v>
      </c>
      <c r="C277" s="66" t="s">
        <v>538</v>
      </c>
      <c r="D277" s="68" t="s">
        <v>1026</v>
      </c>
      <c r="F277" s="63">
        <v>17</v>
      </c>
      <c r="G277" s="64" t="s">
        <v>311</v>
      </c>
      <c r="H277" s="65">
        <v>2354</v>
      </c>
      <c r="I277" s="66" t="s">
        <v>328</v>
      </c>
      <c r="J277" s="66"/>
    </row>
    <row r="278" spans="1:10">
      <c r="A278" s="63">
        <v>18</v>
      </c>
      <c r="B278" s="65">
        <v>2378</v>
      </c>
      <c r="C278" s="66" t="s">
        <v>538</v>
      </c>
      <c r="D278" s="68" t="s">
        <v>1027</v>
      </c>
      <c r="F278" s="63">
        <v>18</v>
      </c>
      <c r="G278" s="64" t="s">
        <v>311</v>
      </c>
      <c r="H278" s="65">
        <v>2378</v>
      </c>
      <c r="I278" s="66" t="s">
        <v>329</v>
      </c>
      <c r="J278" s="66"/>
    </row>
    <row r="279" spans="1:10">
      <c r="A279" s="63">
        <v>19</v>
      </c>
      <c r="B279" s="65">
        <v>2383</v>
      </c>
      <c r="C279" s="66" t="s">
        <v>538</v>
      </c>
      <c r="D279" s="68" t="s">
        <v>1028</v>
      </c>
      <c r="F279" s="63">
        <v>19</v>
      </c>
      <c r="G279" s="64" t="s">
        <v>311</v>
      </c>
      <c r="H279" s="65">
        <v>2383</v>
      </c>
      <c r="I279" s="66" t="s">
        <v>330</v>
      </c>
      <c r="J279" s="66"/>
    </row>
    <row r="280" spans="1:10">
      <c r="A280" s="63">
        <v>20</v>
      </c>
      <c r="B280" s="65">
        <v>2391</v>
      </c>
      <c r="C280" s="66" t="s">
        <v>705</v>
      </c>
      <c r="D280" s="68" t="s">
        <v>873</v>
      </c>
      <c r="F280" s="63">
        <v>20</v>
      </c>
      <c r="G280" s="64" t="s">
        <v>311</v>
      </c>
      <c r="H280" s="65">
        <v>2391</v>
      </c>
      <c r="I280" s="66" t="s">
        <v>331</v>
      </c>
      <c r="J280" s="66"/>
    </row>
    <row r="281" spans="1:10">
      <c r="A281" s="63">
        <v>21</v>
      </c>
      <c r="B281" s="65">
        <v>2396</v>
      </c>
      <c r="C281" s="66" t="s">
        <v>654</v>
      </c>
      <c r="D281" s="68" t="s">
        <v>775</v>
      </c>
      <c r="F281" s="63">
        <v>21</v>
      </c>
      <c r="G281" s="64" t="s">
        <v>311</v>
      </c>
      <c r="H281" s="65">
        <v>2396</v>
      </c>
      <c r="I281" s="66" t="s">
        <v>332</v>
      </c>
      <c r="J281" s="66"/>
    </row>
    <row r="282" spans="1:10">
      <c r="A282" s="63">
        <v>1</v>
      </c>
      <c r="B282" s="65">
        <v>1367</v>
      </c>
      <c r="C282" s="66" t="s">
        <v>654</v>
      </c>
      <c r="D282" s="68" t="s">
        <v>1029</v>
      </c>
      <c r="F282" s="63">
        <v>1</v>
      </c>
      <c r="G282" s="64" t="s">
        <v>333</v>
      </c>
      <c r="H282" s="65">
        <v>1367</v>
      </c>
      <c r="I282" s="66" t="s">
        <v>334</v>
      </c>
      <c r="J282" s="66"/>
    </row>
    <row r="283" spans="1:10">
      <c r="A283" s="63">
        <v>2</v>
      </c>
      <c r="B283" s="65">
        <v>1868</v>
      </c>
      <c r="C283" s="66" t="s">
        <v>706</v>
      </c>
      <c r="D283" s="68" t="s">
        <v>1030</v>
      </c>
      <c r="F283" s="63">
        <v>2</v>
      </c>
      <c r="G283" s="64" t="s">
        <v>333</v>
      </c>
      <c r="H283" s="65">
        <v>1868</v>
      </c>
      <c r="I283" s="66" t="s">
        <v>335</v>
      </c>
      <c r="J283" s="66"/>
    </row>
    <row r="284" spans="1:10">
      <c r="A284" s="63">
        <v>3</v>
      </c>
      <c r="B284" s="65">
        <v>2350</v>
      </c>
      <c r="C284" s="66" t="s">
        <v>580</v>
      </c>
      <c r="D284" s="68" t="s">
        <v>1031</v>
      </c>
      <c r="F284" s="63">
        <v>3</v>
      </c>
      <c r="G284" s="64" t="s">
        <v>333</v>
      </c>
      <c r="H284" s="65">
        <v>2350</v>
      </c>
      <c r="I284" s="66" t="s">
        <v>336</v>
      </c>
      <c r="J284" s="66"/>
    </row>
    <row r="285" spans="1:10">
      <c r="A285" s="63">
        <v>4</v>
      </c>
      <c r="B285" s="65">
        <v>2357</v>
      </c>
      <c r="C285" s="66" t="s">
        <v>702</v>
      </c>
      <c r="D285" s="68" t="s">
        <v>1032</v>
      </c>
      <c r="F285" s="63">
        <v>4</v>
      </c>
      <c r="G285" s="64" t="s">
        <v>333</v>
      </c>
      <c r="H285" s="65">
        <v>2357</v>
      </c>
      <c r="I285" s="66" t="s">
        <v>337</v>
      </c>
      <c r="J285" s="66"/>
    </row>
    <row r="286" spans="1:10">
      <c r="A286" s="63">
        <v>5</v>
      </c>
      <c r="B286" s="65">
        <v>2359</v>
      </c>
      <c r="C286" s="66" t="s">
        <v>674</v>
      </c>
      <c r="D286" s="68" t="s">
        <v>1033</v>
      </c>
      <c r="F286" s="63">
        <v>5</v>
      </c>
      <c r="G286" s="64" t="s">
        <v>333</v>
      </c>
      <c r="H286" s="65">
        <v>2359</v>
      </c>
      <c r="I286" s="66" t="s">
        <v>338</v>
      </c>
      <c r="J286" s="66"/>
    </row>
    <row r="287" spans="1:10">
      <c r="A287" s="63">
        <v>6</v>
      </c>
      <c r="B287" s="65">
        <v>2363</v>
      </c>
      <c r="C287" s="66" t="s">
        <v>518</v>
      </c>
      <c r="D287" s="68" t="s">
        <v>1034</v>
      </c>
      <c r="F287" s="63">
        <v>6</v>
      </c>
      <c r="G287" s="64" t="s">
        <v>333</v>
      </c>
      <c r="H287" s="65">
        <v>2363</v>
      </c>
      <c r="I287" s="66" t="s">
        <v>339</v>
      </c>
      <c r="J287" s="66"/>
    </row>
    <row r="288" spans="1:10">
      <c r="A288" s="63">
        <v>1</v>
      </c>
      <c r="B288" s="65">
        <v>1544</v>
      </c>
      <c r="C288" s="66" t="s">
        <v>707</v>
      </c>
      <c r="D288" s="68" t="s">
        <v>1035</v>
      </c>
      <c r="F288" s="63">
        <v>1</v>
      </c>
      <c r="G288" s="64" t="s">
        <v>340</v>
      </c>
      <c r="H288" s="65">
        <v>1544</v>
      </c>
      <c r="I288" s="66" t="s">
        <v>341</v>
      </c>
      <c r="J288" s="66"/>
    </row>
    <row r="289" spans="1:10">
      <c r="A289" s="63">
        <v>2</v>
      </c>
      <c r="B289" s="65">
        <v>2387</v>
      </c>
      <c r="C289" s="66" t="s">
        <v>528</v>
      </c>
      <c r="D289" s="68" t="s">
        <v>1036</v>
      </c>
      <c r="F289" s="63">
        <v>2</v>
      </c>
      <c r="G289" s="64" t="s">
        <v>340</v>
      </c>
      <c r="H289" s="65">
        <v>2387</v>
      </c>
      <c r="I289" s="66" t="s">
        <v>342</v>
      </c>
      <c r="J289" s="66"/>
    </row>
    <row r="290" spans="1:10">
      <c r="A290" s="63">
        <v>3</v>
      </c>
      <c r="B290" s="65">
        <v>2487</v>
      </c>
      <c r="C290" s="66" t="s">
        <v>708</v>
      </c>
      <c r="D290" s="68" t="s">
        <v>1037</v>
      </c>
      <c r="F290" s="63">
        <v>3</v>
      </c>
      <c r="G290" s="64" t="s">
        <v>340</v>
      </c>
      <c r="H290" s="65">
        <v>2487</v>
      </c>
      <c r="I290" s="66" t="s">
        <v>343</v>
      </c>
      <c r="J290" s="66"/>
    </row>
    <row r="291" spans="1:10">
      <c r="A291" s="63">
        <v>1</v>
      </c>
      <c r="B291" s="65">
        <v>344</v>
      </c>
      <c r="C291" s="66" t="s">
        <v>597</v>
      </c>
      <c r="D291" s="68" t="s">
        <v>1038</v>
      </c>
      <c r="F291" s="63">
        <v>1</v>
      </c>
      <c r="G291" s="64" t="s">
        <v>344</v>
      </c>
      <c r="H291" s="65">
        <v>344</v>
      </c>
      <c r="I291" s="66" t="s">
        <v>345</v>
      </c>
      <c r="J291" s="66"/>
    </row>
    <row r="292" spans="1:10">
      <c r="A292" s="63">
        <v>2</v>
      </c>
      <c r="B292" s="65">
        <v>371</v>
      </c>
      <c r="C292" s="66" t="s">
        <v>709</v>
      </c>
      <c r="D292" s="68" t="s">
        <v>1039</v>
      </c>
      <c r="F292" s="63">
        <v>2</v>
      </c>
      <c r="G292" s="64" t="s">
        <v>344</v>
      </c>
      <c r="H292" s="65">
        <v>371</v>
      </c>
      <c r="I292" s="66" t="s">
        <v>346</v>
      </c>
      <c r="J292" s="66"/>
    </row>
    <row r="293" spans="1:10">
      <c r="A293" s="63">
        <v>3</v>
      </c>
      <c r="B293" s="65">
        <v>1045</v>
      </c>
      <c r="C293" s="66" t="s">
        <v>710</v>
      </c>
      <c r="D293" s="68" t="s">
        <v>1040</v>
      </c>
      <c r="F293" s="63">
        <v>3</v>
      </c>
      <c r="G293" s="64" t="s">
        <v>344</v>
      </c>
      <c r="H293" s="65">
        <v>1045</v>
      </c>
      <c r="I293" s="66" t="s">
        <v>347</v>
      </c>
      <c r="J293" s="66"/>
    </row>
    <row r="294" spans="1:10">
      <c r="A294" s="63">
        <v>4</v>
      </c>
      <c r="B294" s="65">
        <v>1084</v>
      </c>
      <c r="C294" s="66" t="s">
        <v>515</v>
      </c>
      <c r="D294" s="68" t="s">
        <v>1041</v>
      </c>
      <c r="F294" s="63">
        <v>4</v>
      </c>
      <c r="G294" s="64" t="s">
        <v>344</v>
      </c>
      <c r="H294" s="65">
        <v>1084</v>
      </c>
      <c r="I294" s="66" t="s">
        <v>348</v>
      </c>
      <c r="J294" s="66"/>
    </row>
    <row r="295" spans="1:10">
      <c r="A295" s="63">
        <v>5</v>
      </c>
      <c r="B295" s="65">
        <v>1149</v>
      </c>
      <c r="C295" s="66" t="s">
        <v>649</v>
      </c>
      <c r="D295" s="68" t="s">
        <v>854</v>
      </c>
      <c r="F295" s="63">
        <v>5</v>
      </c>
      <c r="G295" s="64" t="s">
        <v>344</v>
      </c>
      <c r="H295" s="65">
        <v>1149</v>
      </c>
      <c r="I295" s="66" t="s">
        <v>349</v>
      </c>
      <c r="J295" s="66"/>
    </row>
    <row r="296" spans="1:10">
      <c r="A296" s="63">
        <v>6</v>
      </c>
      <c r="B296" s="65">
        <v>1199</v>
      </c>
      <c r="C296" s="66" t="s">
        <v>711</v>
      </c>
      <c r="D296" s="68" t="s">
        <v>1042</v>
      </c>
      <c r="F296" s="63">
        <v>6</v>
      </c>
      <c r="G296" s="64" t="s">
        <v>344</v>
      </c>
      <c r="H296" s="65">
        <v>1199</v>
      </c>
      <c r="I296" s="66" t="s">
        <v>350</v>
      </c>
      <c r="J296" s="66"/>
    </row>
    <row r="297" spans="1:10">
      <c r="A297" s="63">
        <v>7</v>
      </c>
      <c r="B297" s="65">
        <v>1986</v>
      </c>
      <c r="C297" s="66" t="s">
        <v>519</v>
      </c>
      <c r="D297" s="68" t="s">
        <v>1043</v>
      </c>
      <c r="F297" s="63">
        <v>7</v>
      </c>
      <c r="G297" s="64" t="s">
        <v>344</v>
      </c>
      <c r="H297" s="65">
        <v>1986</v>
      </c>
      <c r="I297" s="66" t="s">
        <v>351</v>
      </c>
      <c r="J297" s="66"/>
    </row>
    <row r="298" spans="1:10">
      <c r="A298" s="63">
        <v>8</v>
      </c>
      <c r="B298" s="65">
        <v>2078</v>
      </c>
      <c r="C298" s="66" t="s">
        <v>683</v>
      </c>
      <c r="D298" s="68" t="s">
        <v>1044</v>
      </c>
      <c r="F298" s="63">
        <v>8</v>
      </c>
      <c r="G298" s="64" t="s">
        <v>344</v>
      </c>
      <c r="H298" s="65">
        <v>2078</v>
      </c>
      <c r="I298" s="66" t="s">
        <v>352</v>
      </c>
      <c r="J298" s="66"/>
    </row>
    <row r="299" spans="1:10">
      <c r="A299" s="63">
        <v>9</v>
      </c>
      <c r="B299" s="65">
        <v>2087</v>
      </c>
      <c r="C299" s="66" t="s">
        <v>712</v>
      </c>
      <c r="D299" s="68" t="s">
        <v>775</v>
      </c>
      <c r="F299" s="63">
        <v>9</v>
      </c>
      <c r="G299" s="64" t="s">
        <v>344</v>
      </c>
      <c r="H299" s="65">
        <v>2087</v>
      </c>
      <c r="I299" s="66" t="s">
        <v>353</v>
      </c>
      <c r="J299" s="66"/>
    </row>
    <row r="300" spans="1:10">
      <c r="A300" s="63">
        <v>10</v>
      </c>
      <c r="B300" s="65">
        <v>2120</v>
      </c>
      <c r="C300" s="66" t="s">
        <v>713</v>
      </c>
      <c r="D300" s="68" t="s">
        <v>1045</v>
      </c>
      <c r="F300" s="63">
        <v>10</v>
      </c>
      <c r="G300" s="64" t="s">
        <v>344</v>
      </c>
      <c r="H300" s="65">
        <v>2120</v>
      </c>
      <c r="I300" s="66" t="s">
        <v>354</v>
      </c>
      <c r="J300" s="66"/>
    </row>
    <row r="301" spans="1:10">
      <c r="A301" s="63">
        <v>11</v>
      </c>
      <c r="B301" s="65">
        <v>2134</v>
      </c>
      <c r="C301" s="66" t="s">
        <v>670</v>
      </c>
      <c r="D301" s="68" t="s">
        <v>986</v>
      </c>
      <c r="F301" s="63">
        <v>11</v>
      </c>
      <c r="G301" s="64" t="s">
        <v>344</v>
      </c>
      <c r="H301" s="65">
        <v>2134</v>
      </c>
      <c r="I301" s="66" t="s">
        <v>355</v>
      </c>
      <c r="J301" s="66"/>
    </row>
    <row r="302" spans="1:10">
      <c r="A302" s="63">
        <v>12</v>
      </c>
      <c r="B302" s="65">
        <v>2151</v>
      </c>
      <c r="C302" s="66" t="s">
        <v>714</v>
      </c>
      <c r="D302" s="68" t="s">
        <v>1046</v>
      </c>
      <c r="F302" s="63">
        <v>12</v>
      </c>
      <c r="G302" s="64" t="s">
        <v>344</v>
      </c>
      <c r="H302" s="65">
        <v>2151</v>
      </c>
      <c r="I302" s="66" t="s">
        <v>356</v>
      </c>
      <c r="J302" s="66"/>
    </row>
    <row r="303" spans="1:10">
      <c r="A303" s="63">
        <v>13</v>
      </c>
      <c r="B303" s="65">
        <v>2208</v>
      </c>
      <c r="C303" s="66" t="s">
        <v>715</v>
      </c>
      <c r="D303" s="68" t="s">
        <v>1047</v>
      </c>
      <c r="F303" s="63">
        <v>13</v>
      </c>
      <c r="G303" s="64" t="s">
        <v>344</v>
      </c>
      <c r="H303" s="65">
        <v>2208</v>
      </c>
      <c r="I303" s="66" t="s">
        <v>357</v>
      </c>
      <c r="J303" s="66"/>
    </row>
    <row r="304" spans="1:10">
      <c r="A304" s="63">
        <v>14</v>
      </c>
      <c r="B304" s="65">
        <v>2225</v>
      </c>
      <c r="C304" s="66" t="s">
        <v>516</v>
      </c>
      <c r="D304" s="68" t="s">
        <v>1048</v>
      </c>
      <c r="F304" s="63">
        <v>14</v>
      </c>
      <c r="G304" s="64" t="s">
        <v>344</v>
      </c>
      <c r="H304" s="65">
        <v>2225</v>
      </c>
      <c r="I304" s="66" t="s">
        <v>358</v>
      </c>
      <c r="J304" s="66"/>
    </row>
    <row r="305" spans="1:10">
      <c r="A305" s="63">
        <v>15</v>
      </c>
      <c r="B305" s="65">
        <v>2243</v>
      </c>
      <c r="C305" s="66" t="s">
        <v>716</v>
      </c>
      <c r="D305" s="68" t="s">
        <v>1049</v>
      </c>
      <c r="F305" s="63">
        <v>15</v>
      </c>
      <c r="G305" s="64" t="s">
        <v>344</v>
      </c>
      <c r="H305" s="65">
        <v>2243</v>
      </c>
      <c r="I305" s="66" t="s">
        <v>359</v>
      </c>
      <c r="J305" s="66"/>
    </row>
    <row r="306" spans="1:10">
      <c r="A306" s="63">
        <v>16</v>
      </c>
      <c r="B306" s="65">
        <v>2256</v>
      </c>
      <c r="C306" s="66" t="s">
        <v>717</v>
      </c>
      <c r="D306" s="68" t="s">
        <v>1050</v>
      </c>
      <c r="F306" s="63">
        <v>16</v>
      </c>
      <c r="G306" s="64" t="s">
        <v>344</v>
      </c>
      <c r="H306" s="65">
        <v>2256</v>
      </c>
      <c r="I306" s="66" t="s">
        <v>360</v>
      </c>
      <c r="J306" s="66"/>
    </row>
    <row r="307" spans="1:10">
      <c r="A307" s="63">
        <v>17</v>
      </c>
      <c r="B307" s="65">
        <v>2326</v>
      </c>
      <c r="C307" s="66" t="s">
        <v>538</v>
      </c>
      <c r="D307" s="68" t="s">
        <v>773</v>
      </c>
      <c r="F307" s="63">
        <v>17</v>
      </c>
      <c r="G307" s="64" t="s">
        <v>344</v>
      </c>
      <c r="H307" s="65">
        <v>2326</v>
      </c>
      <c r="I307" s="66" t="s">
        <v>361</v>
      </c>
      <c r="J307" s="66"/>
    </row>
    <row r="308" spans="1:10">
      <c r="A308" s="63">
        <v>18</v>
      </c>
      <c r="B308" s="65">
        <v>2401</v>
      </c>
      <c r="C308" s="66" t="s">
        <v>628</v>
      </c>
      <c r="D308" s="68" t="s">
        <v>1051</v>
      </c>
      <c r="F308" s="63">
        <v>18</v>
      </c>
      <c r="G308" s="64" t="s">
        <v>344</v>
      </c>
      <c r="H308" s="65">
        <v>2401</v>
      </c>
      <c r="I308" s="66" t="s">
        <v>362</v>
      </c>
      <c r="J308" s="66"/>
    </row>
    <row r="309" spans="1:10">
      <c r="A309" s="63">
        <v>19</v>
      </c>
      <c r="B309" s="65">
        <v>2519</v>
      </c>
      <c r="C309" s="66" t="s">
        <v>718</v>
      </c>
      <c r="D309" s="68" t="s">
        <v>1052</v>
      </c>
      <c r="F309" s="63">
        <v>19</v>
      </c>
      <c r="G309" s="64" t="s">
        <v>344</v>
      </c>
      <c r="H309" s="65">
        <v>2519</v>
      </c>
      <c r="I309" s="66" t="s">
        <v>363</v>
      </c>
      <c r="J309" s="66"/>
    </row>
    <row r="310" spans="1:10">
      <c r="A310" s="63">
        <v>20</v>
      </c>
      <c r="B310" s="65">
        <v>2520</v>
      </c>
      <c r="C310" s="66" t="s">
        <v>510</v>
      </c>
      <c r="D310" s="68" t="s">
        <v>1053</v>
      </c>
      <c r="F310" s="63">
        <v>20</v>
      </c>
      <c r="G310" s="64" t="s">
        <v>344</v>
      </c>
      <c r="H310" s="65">
        <v>2520</v>
      </c>
      <c r="I310" s="66" t="s">
        <v>364</v>
      </c>
      <c r="J310" s="66"/>
    </row>
    <row r="311" spans="1:10">
      <c r="A311" s="63">
        <v>1</v>
      </c>
      <c r="B311" s="65">
        <v>159</v>
      </c>
      <c r="C311" s="66" t="s">
        <v>538</v>
      </c>
      <c r="D311" s="68" t="s">
        <v>1054</v>
      </c>
      <c r="F311" s="63">
        <v>1</v>
      </c>
      <c r="G311" s="64" t="s">
        <v>365</v>
      </c>
      <c r="H311" s="65">
        <v>159</v>
      </c>
      <c r="I311" s="66" t="s">
        <v>366</v>
      </c>
      <c r="J311" s="66"/>
    </row>
    <row r="312" spans="1:10">
      <c r="A312" s="63">
        <v>2</v>
      </c>
      <c r="B312" s="65">
        <v>541</v>
      </c>
      <c r="C312" s="66" t="s">
        <v>720</v>
      </c>
      <c r="D312" s="68" t="s">
        <v>1055</v>
      </c>
      <c r="F312" s="63">
        <v>2</v>
      </c>
      <c r="G312" s="64" t="s">
        <v>365</v>
      </c>
      <c r="H312" s="65">
        <v>541</v>
      </c>
      <c r="I312" s="66" t="s">
        <v>367</v>
      </c>
      <c r="J312" s="66"/>
    </row>
    <row r="313" spans="1:10">
      <c r="A313" s="63">
        <v>3</v>
      </c>
      <c r="B313" s="65">
        <v>779</v>
      </c>
      <c r="C313" s="66" t="s">
        <v>561</v>
      </c>
      <c r="D313" s="68" t="s">
        <v>1056</v>
      </c>
      <c r="F313" s="63">
        <v>3</v>
      </c>
      <c r="G313" s="64" t="s">
        <v>365</v>
      </c>
      <c r="H313" s="65">
        <v>779</v>
      </c>
      <c r="I313" s="66" t="s">
        <v>368</v>
      </c>
      <c r="J313" s="66"/>
    </row>
    <row r="314" spans="1:10">
      <c r="A314" s="63">
        <v>4</v>
      </c>
      <c r="B314" s="65">
        <v>1009</v>
      </c>
      <c r="C314" s="66" t="s">
        <v>721</v>
      </c>
      <c r="D314" s="68" t="s">
        <v>1057</v>
      </c>
      <c r="F314" s="63">
        <v>4</v>
      </c>
      <c r="G314" s="64" t="s">
        <v>365</v>
      </c>
      <c r="H314" s="65">
        <v>1009</v>
      </c>
      <c r="I314" s="66" t="s">
        <v>369</v>
      </c>
      <c r="J314" s="66"/>
    </row>
    <row r="315" spans="1:10">
      <c r="A315" s="63">
        <v>5</v>
      </c>
      <c r="B315" s="65">
        <v>1012</v>
      </c>
      <c r="C315" s="66" t="s">
        <v>651</v>
      </c>
      <c r="D315" s="68" t="s">
        <v>1058</v>
      </c>
      <c r="F315" s="63">
        <v>5</v>
      </c>
      <c r="G315" s="64" t="s">
        <v>365</v>
      </c>
      <c r="H315" s="65">
        <v>1012</v>
      </c>
      <c r="I315" s="66" t="s">
        <v>370</v>
      </c>
      <c r="J315" s="66"/>
    </row>
    <row r="316" spans="1:10">
      <c r="A316" s="63">
        <v>6</v>
      </c>
      <c r="B316" s="65">
        <v>1088</v>
      </c>
      <c r="C316" s="66" t="s">
        <v>535</v>
      </c>
      <c r="D316" s="68" t="s">
        <v>1059</v>
      </c>
      <c r="F316" s="63">
        <v>6</v>
      </c>
      <c r="G316" s="64" t="s">
        <v>365</v>
      </c>
      <c r="H316" s="65">
        <v>1088</v>
      </c>
      <c r="I316" s="66" t="s">
        <v>371</v>
      </c>
      <c r="J316" s="66"/>
    </row>
    <row r="317" spans="1:10">
      <c r="A317" s="63">
        <v>7</v>
      </c>
      <c r="B317" s="65">
        <v>1380</v>
      </c>
      <c r="C317" s="66" t="s">
        <v>722</v>
      </c>
      <c r="D317" s="68" t="s">
        <v>1060</v>
      </c>
      <c r="F317" s="63">
        <v>7</v>
      </c>
      <c r="G317" s="64" t="s">
        <v>365</v>
      </c>
      <c r="H317" s="65">
        <v>1380</v>
      </c>
      <c r="I317" s="66" t="s">
        <v>372</v>
      </c>
      <c r="J317" s="66"/>
    </row>
    <row r="318" spans="1:10">
      <c r="A318" s="63">
        <v>8</v>
      </c>
      <c r="B318" s="65">
        <v>2023</v>
      </c>
      <c r="C318" s="66" t="s">
        <v>643</v>
      </c>
      <c r="D318" s="68" t="s">
        <v>783</v>
      </c>
      <c r="F318" s="63">
        <v>8</v>
      </c>
      <c r="G318" s="64" t="s">
        <v>365</v>
      </c>
      <c r="H318" s="65">
        <v>2023</v>
      </c>
      <c r="I318" s="66" t="s">
        <v>373</v>
      </c>
      <c r="J318" s="66"/>
    </row>
    <row r="319" spans="1:10">
      <c r="A319" s="63">
        <v>9</v>
      </c>
      <c r="B319" s="65">
        <v>2036</v>
      </c>
      <c r="C319" s="66" t="s">
        <v>566</v>
      </c>
      <c r="D319" s="68" t="s">
        <v>1061</v>
      </c>
      <c r="F319" s="63">
        <v>9</v>
      </c>
      <c r="G319" s="64" t="s">
        <v>365</v>
      </c>
      <c r="H319" s="65">
        <v>2036</v>
      </c>
      <c r="I319" s="66" t="s">
        <v>374</v>
      </c>
      <c r="J319" s="66"/>
    </row>
    <row r="320" spans="1:10">
      <c r="A320" s="63">
        <v>10</v>
      </c>
      <c r="B320" s="65">
        <v>2108</v>
      </c>
      <c r="C320" s="66" t="s">
        <v>667</v>
      </c>
      <c r="D320" s="68" t="s">
        <v>1062</v>
      </c>
      <c r="F320" s="63">
        <v>10</v>
      </c>
      <c r="G320" s="64" t="s">
        <v>365</v>
      </c>
      <c r="H320" s="65">
        <v>2108</v>
      </c>
      <c r="I320" s="66" t="s">
        <v>375</v>
      </c>
      <c r="J320" s="66"/>
    </row>
    <row r="321" spans="1:10">
      <c r="A321" s="63">
        <v>11</v>
      </c>
      <c r="B321" s="65">
        <v>2136</v>
      </c>
      <c r="C321" s="66" t="s">
        <v>566</v>
      </c>
      <c r="D321" s="68" t="s">
        <v>1063</v>
      </c>
      <c r="F321" s="63">
        <v>11</v>
      </c>
      <c r="G321" s="64" t="s">
        <v>365</v>
      </c>
      <c r="H321" s="65">
        <v>2136</v>
      </c>
      <c r="I321" s="66" t="s">
        <v>376</v>
      </c>
      <c r="J321" s="66"/>
    </row>
    <row r="322" spans="1:10">
      <c r="A322" s="63">
        <v>12</v>
      </c>
      <c r="B322" s="65">
        <v>2138</v>
      </c>
      <c r="C322" s="66" t="s">
        <v>694</v>
      </c>
      <c r="D322" s="68" t="s">
        <v>1064</v>
      </c>
      <c r="F322" s="63">
        <v>12</v>
      </c>
      <c r="G322" s="64" t="s">
        <v>365</v>
      </c>
      <c r="H322" s="65">
        <v>2138</v>
      </c>
      <c r="I322" s="66" t="s">
        <v>377</v>
      </c>
      <c r="J322" s="66"/>
    </row>
    <row r="323" spans="1:10">
      <c r="A323" s="63">
        <v>13</v>
      </c>
      <c r="B323" s="65">
        <v>2146</v>
      </c>
      <c r="C323" s="66" t="s">
        <v>723</v>
      </c>
      <c r="D323" s="68" t="s">
        <v>1065</v>
      </c>
      <c r="F323" s="63">
        <v>13</v>
      </c>
      <c r="G323" s="64" t="s">
        <v>365</v>
      </c>
      <c r="H323" s="65">
        <v>2146</v>
      </c>
      <c r="I323" s="66" t="s">
        <v>378</v>
      </c>
      <c r="J323" s="66"/>
    </row>
    <row r="324" spans="1:10">
      <c r="A324" s="63">
        <v>14</v>
      </c>
      <c r="B324" s="65">
        <v>2152</v>
      </c>
      <c r="C324" s="66" t="s">
        <v>576</v>
      </c>
      <c r="D324" s="68" t="s">
        <v>1066</v>
      </c>
      <c r="F324" s="63">
        <v>14</v>
      </c>
      <c r="G324" s="64" t="s">
        <v>365</v>
      </c>
      <c r="H324" s="65">
        <v>2152</v>
      </c>
      <c r="I324" s="66" t="s">
        <v>379</v>
      </c>
      <c r="J324" s="66"/>
    </row>
    <row r="325" spans="1:10">
      <c r="A325" s="63">
        <v>15</v>
      </c>
      <c r="B325" s="65">
        <v>2153</v>
      </c>
      <c r="C325" s="66" t="s">
        <v>724</v>
      </c>
      <c r="D325" s="68" t="s">
        <v>996</v>
      </c>
      <c r="F325" s="63">
        <v>15</v>
      </c>
      <c r="G325" s="64" t="s">
        <v>365</v>
      </c>
      <c r="H325" s="65">
        <v>2153</v>
      </c>
      <c r="I325" s="66" t="s">
        <v>380</v>
      </c>
      <c r="J325" s="66"/>
    </row>
    <row r="326" spans="1:10">
      <c r="A326" s="63">
        <v>16</v>
      </c>
      <c r="B326" s="65">
        <v>2211</v>
      </c>
      <c r="C326" s="66" t="s">
        <v>532</v>
      </c>
      <c r="D326" s="68" t="s">
        <v>1067</v>
      </c>
      <c r="F326" s="63">
        <v>16</v>
      </c>
      <c r="G326" s="64" t="s">
        <v>365</v>
      </c>
      <c r="H326" s="65">
        <v>2211</v>
      </c>
      <c r="I326" s="66" t="s">
        <v>381</v>
      </c>
      <c r="J326" s="66"/>
    </row>
    <row r="327" spans="1:10">
      <c r="A327" s="63">
        <v>17</v>
      </c>
      <c r="B327" s="65">
        <v>2221</v>
      </c>
      <c r="C327" s="66" t="s">
        <v>680</v>
      </c>
      <c r="D327" s="68" t="s">
        <v>1068</v>
      </c>
      <c r="F327" s="63">
        <v>17</v>
      </c>
      <c r="G327" s="64" t="s">
        <v>365</v>
      </c>
      <c r="H327" s="65">
        <v>2221</v>
      </c>
      <c r="I327" s="66" t="s">
        <v>382</v>
      </c>
      <c r="J327" s="66"/>
    </row>
    <row r="328" spans="1:10">
      <c r="A328" s="63">
        <v>18</v>
      </c>
      <c r="B328" s="65">
        <v>2241</v>
      </c>
      <c r="C328" s="66" t="s">
        <v>725</v>
      </c>
      <c r="D328" s="68" t="s">
        <v>808</v>
      </c>
      <c r="F328" s="63">
        <v>18</v>
      </c>
      <c r="G328" s="64" t="s">
        <v>365</v>
      </c>
      <c r="H328" s="65">
        <v>2241</v>
      </c>
      <c r="I328" s="66" t="s">
        <v>383</v>
      </c>
      <c r="J328" s="66"/>
    </row>
    <row r="329" spans="1:10">
      <c r="A329" s="63">
        <v>19</v>
      </c>
      <c r="B329" s="65">
        <v>2264</v>
      </c>
      <c r="C329" s="66" t="s">
        <v>553</v>
      </c>
      <c r="D329" s="68" t="s">
        <v>1069</v>
      </c>
      <c r="F329" s="63">
        <v>19</v>
      </c>
      <c r="G329" s="64" t="s">
        <v>365</v>
      </c>
      <c r="H329" s="65">
        <v>2264</v>
      </c>
      <c r="I329" s="66" t="s">
        <v>384</v>
      </c>
      <c r="J329" s="66"/>
    </row>
    <row r="330" spans="1:10">
      <c r="A330" s="63">
        <v>20</v>
      </c>
      <c r="B330" s="65">
        <v>2267</v>
      </c>
      <c r="C330" s="66" t="s">
        <v>726</v>
      </c>
      <c r="D330" s="68" t="s">
        <v>1027</v>
      </c>
      <c r="F330" s="63">
        <v>20</v>
      </c>
      <c r="G330" s="64" t="s">
        <v>365</v>
      </c>
      <c r="H330" s="65">
        <v>2267</v>
      </c>
      <c r="I330" s="66" t="s">
        <v>385</v>
      </c>
      <c r="J330" s="66"/>
    </row>
    <row r="331" spans="1:10">
      <c r="A331" s="63">
        <v>1</v>
      </c>
      <c r="B331" s="65">
        <v>697</v>
      </c>
      <c r="C331" s="66" t="s">
        <v>727</v>
      </c>
      <c r="D331" s="68" t="s">
        <v>1070</v>
      </c>
      <c r="F331" s="63">
        <v>1</v>
      </c>
      <c r="G331" s="64" t="s">
        <v>386</v>
      </c>
      <c r="H331" s="65">
        <v>697</v>
      </c>
      <c r="I331" s="66" t="s">
        <v>387</v>
      </c>
      <c r="J331" s="66"/>
    </row>
    <row r="332" spans="1:10">
      <c r="A332" s="63">
        <v>2</v>
      </c>
      <c r="B332" s="65">
        <v>792</v>
      </c>
      <c r="C332" s="66" t="s">
        <v>538</v>
      </c>
      <c r="D332" s="68" t="s">
        <v>812</v>
      </c>
      <c r="F332" s="63">
        <v>2</v>
      </c>
      <c r="G332" s="64" t="s">
        <v>386</v>
      </c>
      <c r="H332" s="65">
        <v>792</v>
      </c>
      <c r="I332" s="66" t="s">
        <v>388</v>
      </c>
      <c r="J332" s="66"/>
    </row>
    <row r="333" spans="1:10">
      <c r="A333" s="63">
        <v>3</v>
      </c>
      <c r="B333" s="65">
        <v>1005</v>
      </c>
      <c r="C333" s="66" t="s">
        <v>728</v>
      </c>
      <c r="D333" s="68" t="s">
        <v>1071</v>
      </c>
      <c r="F333" s="63">
        <v>3</v>
      </c>
      <c r="G333" s="64" t="s">
        <v>386</v>
      </c>
      <c r="H333" s="65">
        <v>1005</v>
      </c>
      <c r="I333" s="66" t="s">
        <v>389</v>
      </c>
      <c r="J333" s="66"/>
    </row>
    <row r="334" spans="1:10">
      <c r="A334" s="63">
        <v>4</v>
      </c>
      <c r="B334" s="65">
        <v>2055</v>
      </c>
      <c r="C334" s="66" t="s">
        <v>729</v>
      </c>
      <c r="D334" s="68" t="s">
        <v>1072</v>
      </c>
      <c r="F334" s="63">
        <v>4</v>
      </c>
      <c r="G334" s="64" t="s">
        <v>386</v>
      </c>
      <c r="H334" s="65">
        <v>2055</v>
      </c>
      <c r="I334" s="66" t="s">
        <v>390</v>
      </c>
      <c r="J334" s="66"/>
    </row>
    <row r="335" spans="1:10">
      <c r="A335" s="63">
        <v>5</v>
      </c>
      <c r="B335" s="65">
        <v>2090</v>
      </c>
      <c r="C335" s="66" t="s">
        <v>597</v>
      </c>
      <c r="D335" s="68" t="s">
        <v>775</v>
      </c>
      <c r="F335" s="63">
        <v>5</v>
      </c>
      <c r="G335" s="64" t="s">
        <v>386</v>
      </c>
      <c r="H335" s="65">
        <v>2090</v>
      </c>
      <c r="I335" s="66" t="s">
        <v>391</v>
      </c>
      <c r="J335" s="66"/>
    </row>
    <row r="336" spans="1:10">
      <c r="A336" s="63">
        <v>6</v>
      </c>
      <c r="B336" s="65">
        <v>2112</v>
      </c>
      <c r="C336" s="66" t="s">
        <v>553</v>
      </c>
      <c r="D336" s="68" t="s">
        <v>1073</v>
      </c>
      <c r="F336" s="63">
        <v>6</v>
      </c>
      <c r="G336" s="64" t="s">
        <v>386</v>
      </c>
      <c r="H336" s="65">
        <v>2112</v>
      </c>
      <c r="I336" s="66" t="s">
        <v>392</v>
      </c>
      <c r="J336" s="66"/>
    </row>
    <row r="337" spans="1:10">
      <c r="A337" s="63">
        <v>7</v>
      </c>
      <c r="B337" s="65">
        <v>2181</v>
      </c>
      <c r="C337" s="66" t="s">
        <v>667</v>
      </c>
      <c r="D337" s="68" t="s">
        <v>1074</v>
      </c>
      <c r="F337" s="63">
        <v>7</v>
      </c>
      <c r="G337" s="64" t="s">
        <v>386</v>
      </c>
      <c r="H337" s="65">
        <v>2181</v>
      </c>
      <c r="I337" s="66" t="s">
        <v>393</v>
      </c>
      <c r="J337" s="66"/>
    </row>
    <row r="338" spans="1:10">
      <c r="A338" s="63">
        <v>8</v>
      </c>
      <c r="B338" s="65">
        <v>2213</v>
      </c>
      <c r="C338" s="66" t="s">
        <v>730</v>
      </c>
      <c r="D338" s="68" t="s">
        <v>1075</v>
      </c>
      <c r="F338" s="63">
        <v>8</v>
      </c>
      <c r="G338" s="64" t="s">
        <v>386</v>
      </c>
      <c r="H338" s="65">
        <v>2213</v>
      </c>
      <c r="I338" s="66" t="s">
        <v>394</v>
      </c>
      <c r="J338" s="66"/>
    </row>
    <row r="339" spans="1:10">
      <c r="A339" s="63">
        <v>9</v>
      </c>
      <c r="B339" s="65">
        <v>2289</v>
      </c>
      <c r="C339" s="66" t="s">
        <v>515</v>
      </c>
      <c r="D339" s="68" t="s">
        <v>1076</v>
      </c>
      <c r="F339" s="63">
        <v>9</v>
      </c>
      <c r="G339" s="64" t="s">
        <v>386</v>
      </c>
      <c r="H339" s="65">
        <v>2289</v>
      </c>
      <c r="I339" s="66" t="s">
        <v>395</v>
      </c>
      <c r="J339" s="66"/>
    </row>
    <row r="340" spans="1:10">
      <c r="A340" s="63">
        <v>1</v>
      </c>
      <c r="B340" s="65">
        <v>1828</v>
      </c>
      <c r="C340" s="66" t="s">
        <v>513</v>
      </c>
      <c r="D340" s="68" t="s">
        <v>1077</v>
      </c>
      <c r="F340" s="63">
        <v>1</v>
      </c>
      <c r="G340" s="64" t="s">
        <v>396</v>
      </c>
      <c r="H340" s="65">
        <v>1828</v>
      </c>
      <c r="I340" s="66" t="s">
        <v>397</v>
      </c>
      <c r="J340" s="66"/>
    </row>
    <row r="341" spans="1:10">
      <c r="A341" s="63">
        <v>2</v>
      </c>
      <c r="B341" s="65">
        <v>2060</v>
      </c>
      <c r="C341" s="66" t="s">
        <v>731</v>
      </c>
      <c r="D341" s="68" t="s">
        <v>1078</v>
      </c>
      <c r="F341" s="63">
        <v>2</v>
      </c>
      <c r="G341" s="64" t="s">
        <v>396</v>
      </c>
      <c r="H341" s="65">
        <v>2060</v>
      </c>
      <c r="I341" s="66" t="s">
        <v>398</v>
      </c>
      <c r="J341" s="66"/>
    </row>
    <row r="342" spans="1:10">
      <c r="A342" s="63">
        <v>3</v>
      </c>
      <c r="B342" s="65">
        <v>2132</v>
      </c>
      <c r="C342" s="66" t="s">
        <v>571</v>
      </c>
      <c r="D342" s="68" t="s">
        <v>1079</v>
      </c>
      <c r="F342" s="63">
        <v>3</v>
      </c>
      <c r="G342" s="64" t="s">
        <v>396</v>
      </c>
      <c r="H342" s="65">
        <v>2132</v>
      </c>
      <c r="I342" s="66" t="s">
        <v>399</v>
      </c>
      <c r="J342" s="66"/>
    </row>
    <row r="343" spans="1:10">
      <c r="A343" s="63">
        <v>4</v>
      </c>
      <c r="B343" s="65">
        <v>2227</v>
      </c>
      <c r="C343" s="66" t="s">
        <v>684</v>
      </c>
      <c r="D343" s="68" t="s">
        <v>1080</v>
      </c>
      <c r="F343" s="63">
        <v>4</v>
      </c>
      <c r="G343" s="64" t="s">
        <v>396</v>
      </c>
      <c r="H343" s="65">
        <v>2227</v>
      </c>
      <c r="I343" s="66" t="s">
        <v>400</v>
      </c>
      <c r="J343" s="66"/>
    </row>
    <row r="344" spans="1:10">
      <c r="A344" s="63">
        <v>5</v>
      </c>
      <c r="B344" s="65">
        <v>2236</v>
      </c>
      <c r="C344" s="66" t="s">
        <v>576</v>
      </c>
      <c r="D344" s="68" t="s">
        <v>888</v>
      </c>
      <c r="F344" s="63">
        <v>5</v>
      </c>
      <c r="G344" s="64" t="s">
        <v>396</v>
      </c>
      <c r="H344" s="65">
        <v>2236</v>
      </c>
      <c r="I344" s="66" t="s">
        <v>401</v>
      </c>
      <c r="J344" s="66"/>
    </row>
    <row r="345" spans="1:10">
      <c r="A345" s="63">
        <v>6</v>
      </c>
      <c r="B345" s="65">
        <v>2282</v>
      </c>
      <c r="C345" s="66" t="s">
        <v>518</v>
      </c>
      <c r="D345" s="68" t="s">
        <v>1081</v>
      </c>
      <c r="F345" s="63">
        <v>6</v>
      </c>
      <c r="G345" s="64" t="s">
        <v>396</v>
      </c>
      <c r="H345" s="65">
        <v>2282</v>
      </c>
      <c r="I345" s="66" t="s">
        <v>402</v>
      </c>
      <c r="J345" s="66"/>
    </row>
    <row r="346" spans="1:10">
      <c r="A346" s="63">
        <v>7</v>
      </c>
      <c r="B346" s="65">
        <v>2499</v>
      </c>
      <c r="C346" s="66" t="s">
        <v>653</v>
      </c>
      <c r="D346" s="68" t="s">
        <v>1082</v>
      </c>
      <c r="F346" s="63">
        <v>7</v>
      </c>
      <c r="G346" s="64" t="s">
        <v>396</v>
      </c>
      <c r="H346" s="65">
        <v>2499</v>
      </c>
      <c r="I346" s="66" t="s">
        <v>403</v>
      </c>
      <c r="J346" s="66"/>
    </row>
    <row r="347" spans="1:10">
      <c r="A347" s="63">
        <v>8</v>
      </c>
      <c r="B347" s="65">
        <v>2576</v>
      </c>
      <c r="C347" s="66" t="s">
        <v>704</v>
      </c>
      <c r="D347" s="68" t="s">
        <v>1083</v>
      </c>
      <c r="F347" s="63">
        <v>8</v>
      </c>
      <c r="G347" s="64" t="s">
        <v>396</v>
      </c>
      <c r="H347" s="65">
        <v>2576</v>
      </c>
      <c r="I347" s="66" t="s">
        <v>404</v>
      </c>
      <c r="J347" s="66"/>
    </row>
    <row r="348" spans="1:10">
      <c r="A348" s="63">
        <v>1</v>
      </c>
      <c r="B348" s="65">
        <v>882</v>
      </c>
      <c r="C348" s="66" t="s">
        <v>732</v>
      </c>
      <c r="D348" s="68" t="s">
        <v>1084</v>
      </c>
      <c r="F348" s="63">
        <v>1</v>
      </c>
      <c r="G348" s="64" t="s">
        <v>405</v>
      </c>
      <c r="H348" s="65">
        <v>882</v>
      </c>
      <c r="I348" s="66" t="s">
        <v>406</v>
      </c>
      <c r="J348" s="66"/>
    </row>
    <row r="349" spans="1:10">
      <c r="A349" s="63">
        <v>2</v>
      </c>
      <c r="B349" s="65">
        <v>1802</v>
      </c>
      <c r="C349" s="66" t="s">
        <v>559</v>
      </c>
      <c r="D349" s="68" t="s">
        <v>1085</v>
      </c>
      <c r="F349" s="63">
        <v>2</v>
      </c>
      <c r="G349" s="64" t="s">
        <v>405</v>
      </c>
      <c r="H349" s="65">
        <v>1802</v>
      </c>
      <c r="I349" s="66" t="s">
        <v>407</v>
      </c>
      <c r="J349" s="66"/>
    </row>
    <row r="350" spans="1:10">
      <c r="A350" s="63">
        <v>3</v>
      </c>
      <c r="B350" s="65">
        <v>1998</v>
      </c>
      <c r="C350" s="66" t="s">
        <v>510</v>
      </c>
      <c r="D350" s="68" t="s">
        <v>1086</v>
      </c>
      <c r="F350" s="63">
        <v>3</v>
      </c>
      <c r="G350" s="64" t="s">
        <v>405</v>
      </c>
      <c r="H350" s="65">
        <v>1998</v>
      </c>
      <c r="I350" s="66" t="s">
        <v>408</v>
      </c>
      <c r="J350" s="66"/>
    </row>
    <row r="351" spans="1:10">
      <c r="A351" s="63">
        <v>4</v>
      </c>
      <c r="B351" s="65">
        <v>2046</v>
      </c>
      <c r="C351" s="66" t="s">
        <v>733</v>
      </c>
      <c r="D351" s="68" t="s">
        <v>1087</v>
      </c>
      <c r="F351" s="63">
        <v>4</v>
      </c>
      <c r="G351" s="64" t="s">
        <v>405</v>
      </c>
      <c r="H351" s="65">
        <v>2046</v>
      </c>
      <c r="I351" s="66" t="s">
        <v>409</v>
      </c>
      <c r="J351" s="66"/>
    </row>
    <row r="352" spans="1:10">
      <c r="A352" s="63">
        <v>5</v>
      </c>
      <c r="B352" s="65">
        <v>2235</v>
      </c>
      <c r="C352" s="66" t="s">
        <v>734</v>
      </c>
      <c r="D352" s="68" t="s">
        <v>844</v>
      </c>
      <c r="F352" s="63">
        <v>5</v>
      </c>
      <c r="G352" s="64" t="s">
        <v>405</v>
      </c>
      <c r="H352" s="65">
        <v>2235</v>
      </c>
      <c r="I352" s="66" t="s">
        <v>410</v>
      </c>
      <c r="J352" s="66"/>
    </row>
    <row r="353" spans="1:10">
      <c r="A353" s="63">
        <v>6</v>
      </c>
      <c r="B353" s="65">
        <v>2497</v>
      </c>
      <c r="C353" s="66" t="s">
        <v>510</v>
      </c>
      <c r="D353" s="68" t="s">
        <v>812</v>
      </c>
      <c r="F353" s="63">
        <v>6</v>
      </c>
      <c r="G353" s="64" t="s">
        <v>405</v>
      </c>
      <c r="H353" s="65">
        <v>2497</v>
      </c>
      <c r="I353" s="66" t="s">
        <v>411</v>
      </c>
      <c r="J353" s="66"/>
    </row>
    <row r="354" spans="1:10">
      <c r="A354" s="63">
        <v>7</v>
      </c>
      <c r="B354" s="65">
        <v>90063</v>
      </c>
      <c r="C354" s="66" t="s">
        <v>706</v>
      </c>
      <c r="D354" s="68" t="s">
        <v>1088</v>
      </c>
      <c r="F354" s="63">
        <v>7</v>
      </c>
      <c r="G354" s="64" t="s">
        <v>405</v>
      </c>
      <c r="H354" s="65">
        <v>90063</v>
      </c>
      <c r="I354" s="66" t="s">
        <v>412</v>
      </c>
      <c r="J354" s="66"/>
    </row>
    <row r="355" spans="1:10">
      <c r="A355" s="63">
        <v>1</v>
      </c>
      <c r="B355" s="65">
        <v>24117</v>
      </c>
      <c r="C355" s="66" t="s">
        <v>565</v>
      </c>
      <c r="D355" s="68" t="s">
        <v>1089</v>
      </c>
      <c r="F355" s="63">
        <v>1</v>
      </c>
      <c r="G355" s="64" t="s">
        <v>413</v>
      </c>
      <c r="H355" s="65">
        <v>24117</v>
      </c>
      <c r="I355" s="66" t="s">
        <v>414</v>
      </c>
      <c r="J355" s="66"/>
    </row>
    <row r="356" spans="1:10">
      <c r="A356" s="63">
        <v>2</v>
      </c>
      <c r="B356" s="65">
        <v>24302</v>
      </c>
      <c r="C356" s="66" t="s">
        <v>735</v>
      </c>
      <c r="D356" s="68" t="s">
        <v>1090</v>
      </c>
      <c r="F356" s="63">
        <v>2</v>
      </c>
      <c r="G356" s="64" t="s">
        <v>413</v>
      </c>
      <c r="H356" s="65">
        <v>24302</v>
      </c>
      <c r="I356" s="66" t="s">
        <v>415</v>
      </c>
      <c r="J356" s="66"/>
    </row>
    <row r="357" spans="1:10">
      <c r="A357" s="63">
        <v>3</v>
      </c>
      <c r="B357" s="65">
        <v>24303</v>
      </c>
      <c r="C357" s="66" t="s">
        <v>736</v>
      </c>
      <c r="D357" s="68" t="s">
        <v>1091</v>
      </c>
      <c r="F357" s="63">
        <v>3</v>
      </c>
      <c r="G357" s="64" t="s">
        <v>413</v>
      </c>
      <c r="H357" s="65">
        <v>24303</v>
      </c>
      <c r="I357" s="66" t="s">
        <v>416</v>
      </c>
      <c r="J357" s="66"/>
    </row>
    <row r="358" spans="1:10">
      <c r="A358" s="63">
        <v>4</v>
      </c>
      <c r="B358" s="65">
        <v>24304</v>
      </c>
      <c r="C358" s="66" t="s">
        <v>632</v>
      </c>
      <c r="D358" s="68" t="s">
        <v>1092</v>
      </c>
      <c r="F358" s="63">
        <v>4</v>
      </c>
      <c r="G358" s="64" t="s">
        <v>413</v>
      </c>
      <c r="H358" s="65">
        <v>24304</v>
      </c>
      <c r="I358" s="66" t="s">
        <v>417</v>
      </c>
      <c r="J358" s="66"/>
    </row>
    <row r="359" spans="1:10">
      <c r="A359" s="63">
        <v>5</v>
      </c>
      <c r="B359" s="65">
        <v>24305</v>
      </c>
      <c r="C359" s="66" t="s">
        <v>679</v>
      </c>
      <c r="D359" s="68" t="s">
        <v>1093</v>
      </c>
      <c r="F359" s="63">
        <v>5</v>
      </c>
      <c r="G359" s="64" t="s">
        <v>413</v>
      </c>
      <c r="H359" s="65">
        <v>24305</v>
      </c>
      <c r="I359" s="66" t="s">
        <v>418</v>
      </c>
      <c r="J359" s="66"/>
    </row>
    <row r="360" spans="1:10">
      <c r="A360" s="63">
        <v>6</v>
      </c>
      <c r="B360" s="65">
        <v>24306</v>
      </c>
      <c r="C360" s="66" t="s">
        <v>737</v>
      </c>
      <c r="D360" s="68" t="s">
        <v>1094</v>
      </c>
      <c r="F360" s="63">
        <v>6</v>
      </c>
      <c r="G360" s="64" t="s">
        <v>413</v>
      </c>
      <c r="H360" s="65">
        <v>24306</v>
      </c>
      <c r="I360" s="66" t="s">
        <v>419</v>
      </c>
      <c r="J360" s="66"/>
    </row>
    <row r="361" spans="1:10">
      <c r="A361" s="63">
        <v>7</v>
      </c>
      <c r="B361" s="65">
        <v>24308</v>
      </c>
      <c r="C361" s="66" t="s">
        <v>738</v>
      </c>
      <c r="D361" s="68" t="s">
        <v>1095</v>
      </c>
      <c r="F361" s="63">
        <v>7</v>
      </c>
      <c r="G361" s="64" t="s">
        <v>413</v>
      </c>
      <c r="H361" s="65">
        <v>24308</v>
      </c>
      <c r="I361" s="66" t="s">
        <v>420</v>
      </c>
      <c r="J361" s="66"/>
    </row>
    <row r="362" spans="1:10">
      <c r="A362" s="63">
        <v>8</v>
      </c>
      <c r="B362" s="65">
        <v>24309</v>
      </c>
      <c r="C362" s="66" t="s">
        <v>594</v>
      </c>
      <c r="D362" s="68" t="s">
        <v>1096</v>
      </c>
      <c r="F362" s="63">
        <v>8</v>
      </c>
      <c r="G362" s="64" t="s">
        <v>413</v>
      </c>
      <c r="H362" s="65">
        <v>24309</v>
      </c>
      <c r="I362" s="66" t="s">
        <v>421</v>
      </c>
      <c r="J362" s="66"/>
    </row>
    <row r="363" spans="1:10">
      <c r="A363" s="63">
        <v>9</v>
      </c>
      <c r="B363" s="65">
        <v>24310</v>
      </c>
      <c r="C363" s="66" t="s">
        <v>739</v>
      </c>
      <c r="D363" s="68" t="s">
        <v>1097</v>
      </c>
      <c r="F363" s="63">
        <v>9</v>
      </c>
      <c r="G363" s="64" t="s">
        <v>413</v>
      </c>
      <c r="H363" s="65">
        <v>24310</v>
      </c>
      <c r="I363" s="66" t="s">
        <v>422</v>
      </c>
      <c r="J363" s="66"/>
    </row>
    <row r="364" spans="1:10">
      <c r="A364" s="63">
        <v>10</v>
      </c>
      <c r="B364" s="65">
        <v>24311</v>
      </c>
      <c r="C364" s="66" t="s">
        <v>685</v>
      </c>
      <c r="D364" s="68" t="s">
        <v>1098</v>
      </c>
      <c r="F364" s="63">
        <v>10</v>
      </c>
      <c r="G364" s="64" t="s">
        <v>413</v>
      </c>
      <c r="H364" s="65">
        <v>24311</v>
      </c>
      <c r="I364" s="66" t="s">
        <v>423</v>
      </c>
      <c r="J364" s="66"/>
    </row>
    <row r="365" spans="1:10">
      <c r="A365" s="63">
        <v>11</v>
      </c>
      <c r="B365" s="65">
        <v>24312</v>
      </c>
      <c r="C365" s="66" t="s">
        <v>535</v>
      </c>
      <c r="D365" s="68" t="s">
        <v>1099</v>
      </c>
      <c r="F365" s="63">
        <v>11</v>
      </c>
      <c r="G365" s="64" t="s">
        <v>413</v>
      </c>
      <c r="H365" s="65">
        <v>24312</v>
      </c>
      <c r="I365" s="66" t="s">
        <v>424</v>
      </c>
      <c r="J365" s="66"/>
    </row>
    <row r="366" spans="1:10">
      <c r="A366" s="63">
        <v>12</v>
      </c>
      <c r="B366" s="65">
        <v>24313</v>
      </c>
      <c r="C366" s="66" t="s">
        <v>684</v>
      </c>
      <c r="D366" s="68" t="s">
        <v>1100</v>
      </c>
      <c r="F366" s="63">
        <v>12</v>
      </c>
      <c r="G366" s="64" t="s">
        <v>413</v>
      </c>
      <c r="H366" s="65">
        <v>24313</v>
      </c>
      <c r="I366" s="66" t="s">
        <v>425</v>
      </c>
      <c r="J366" s="66"/>
    </row>
    <row r="367" spans="1:10">
      <c r="A367" s="63">
        <v>13</v>
      </c>
      <c r="B367" s="65">
        <v>24314</v>
      </c>
      <c r="C367" s="66" t="s">
        <v>569</v>
      </c>
      <c r="D367" s="68" t="s">
        <v>1101</v>
      </c>
      <c r="F367" s="63">
        <v>13</v>
      </c>
      <c r="G367" s="64" t="s">
        <v>413</v>
      </c>
      <c r="H367" s="65">
        <v>24314</v>
      </c>
      <c r="I367" s="66" t="s">
        <v>426</v>
      </c>
      <c r="J367" s="66"/>
    </row>
    <row r="368" spans="1:10">
      <c r="A368" s="63">
        <v>14</v>
      </c>
      <c r="B368" s="65">
        <v>24315</v>
      </c>
      <c r="C368" s="66" t="s">
        <v>706</v>
      </c>
      <c r="D368" s="68" t="s">
        <v>1102</v>
      </c>
      <c r="F368" s="63">
        <v>14</v>
      </c>
      <c r="G368" s="64" t="s">
        <v>413</v>
      </c>
      <c r="H368" s="65">
        <v>24315</v>
      </c>
      <c r="I368" s="66" t="s">
        <v>427</v>
      </c>
      <c r="J368" s="66"/>
    </row>
    <row r="369" spans="1:10">
      <c r="A369" s="63">
        <v>15</v>
      </c>
      <c r="B369" s="65">
        <v>24316</v>
      </c>
      <c r="C369" s="66" t="s">
        <v>510</v>
      </c>
      <c r="D369" s="68" t="s">
        <v>1103</v>
      </c>
      <c r="F369" s="63">
        <v>15</v>
      </c>
      <c r="G369" s="64" t="s">
        <v>413</v>
      </c>
      <c r="H369" s="65">
        <v>24316</v>
      </c>
      <c r="I369" s="66" t="s">
        <v>428</v>
      </c>
      <c r="J369" s="66"/>
    </row>
    <row r="370" spans="1:10">
      <c r="A370" s="63">
        <v>16</v>
      </c>
      <c r="B370" s="65">
        <v>24317</v>
      </c>
      <c r="C370" s="66" t="s">
        <v>510</v>
      </c>
      <c r="D370" s="68" t="s">
        <v>1104</v>
      </c>
      <c r="F370" s="63">
        <v>16</v>
      </c>
      <c r="G370" s="64" t="s">
        <v>413</v>
      </c>
      <c r="H370" s="65">
        <v>24317</v>
      </c>
      <c r="I370" s="66" t="s">
        <v>429</v>
      </c>
      <c r="J370" s="66"/>
    </row>
    <row r="371" spans="1:10">
      <c r="A371" s="63">
        <v>17</v>
      </c>
      <c r="B371" s="65">
        <v>24318</v>
      </c>
      <c r="C371" s="66" t="s">
        <v>732</v>
      </c>
      <c r="D371" s="68" t="s">
        <v>1105</v>
      </c>
      <c r="F371" s="63">
        <v>17</v>
      </c>
      <c r="G371" s="64" t="s">
        <v>413</v>
      </c>
      <c r="H371" s="65">
        <v>24318</v>
      </c>
      <c r="I371" s="66" t="s">
        <v>430</v>
      </c>
      <c r="J371" s="66"/>
    </row>
    <row r="372" spans="1:10">
      <c r="A372" s="63">
        <v>18</v>
      </c>
      <c r="B372" s="65">
        <v>24319</v>
      </c>
      <c r="C372" s="66" t="s">
        <v>694</v>
      </c>
      <c r="D372" s="68" t="s">
        <v>1106</v>
      </c>
      <c r="F372" s="63">
        <v>18</v>
      </c>
      <c r="G372" s="64" t="s">
        <v>413</v>
      </c>
      <c r="H372" s="65">
        <v>24319</v>
      </c>
      <c r="I372" s="66" t="s">
        <v>431</v>
      </c>
      <c r="J372" s="66"/>
    </row>
    <row r="373" spans="1:10">
      <c r="A373" s="63">
        <v>19</v>
      </c>
      <c r="B373" s="65">
        <v>24321</v>
      </c>
      <c r="C373" s="66" t="s">
        <v>694</v>
      </c>
      <c r="D373" s="68" t="s">
        <v>1107</v>
      </c>
      <c r="F373" s="63">
        <v>19</v>
      </c>
      <c r="G373" s="64" t="s">
        <v>413</v>
      </c>
      <c r="H373" s="65">
        <v>24321</v>
      </c>
      <c r="I373" s="66" t="s">
        <v>432</v>
      </c>
      <c r="J373" s="66"/>
    </row>
    <row r="374" spans="1:10">
      <c r="A374" s="63">
        <v>20</v>
      </c>
      <c r="B374" s="65">
        <v>24322</v>
      </c>
      <c r="C374" s="66" t="s">
        <v>545</v>
      </c>
      <c r="D374" s="68" t="s">
        <v>1108</v>
      </c>
      <c r="F374" s="63">
        <v>20</v>
      </c>
      <c r="G374" s="64" t="s">
        <v>413</v>
      </c>
      <c r="H374" s="65">
        <v>24322</v>
      </c>
      <c r="I374" s="66" t="s">
        <v>433</v>
      </c>
      <c r="J374" s="66"/>
    </row>
    <row r="375" spans="1:10">
      <c r="A375" s="63">
        <v>21</v>
      </c>
      <c r="B375" s="65">
        <v>24323</v>
      </c>
      <c r="C375" s="66" t="s">
        <v>740</v>
      </c>
      <c r="D375" s="68" t="s">
        <v>1109</v>
      </c>
      <c r="F375" s="63">
        <v>21</v>
      </c>
      <c r="G375" s="64" t="s">
        <v>413</v>
      </c>
      <c r="H375" s="65">
        <v>24323</v>
      </c>
      <c r="I375" s="66" t="s">
        <v>434</v>
      </c>
      <c r="J375" s="66"/>
    </row>
    <row r="376" spans="1:10">
      <c r="A376" s="63">
        <v>22</v>
      </c>
      <c r="B376" s="65">
        <v>24324</v>
      </c>
      <c r="C376" s="66" t="s">
        <v>600</v>
      </c>
      <c r="D376" s="68" t="s">
        <v>1110</v>
      </c>
      <c r="F376" s="63">
        <v>22</v>
      </c>
      <c r="G376" s="64" t="s">
        <v>413</v>
      </c>
      <c r="H376" s="65">
        <v>24324</v>
      </c>
      <c r="I376" s="66" t="s">
        <v>435</v>
      </c>
      <c r="J376" s="66"/>
    </row>
    <row r="377" spans="1:10">
      <c r="A377" s="63">
        <v>23</v>
      </c>
      <c r="B377" s="65">
        <v>24325</v>
      </c>
      <c r="C377" s="66" t="s">
        <v>741</v>
      </c>
      <c r="D377" s="68" t="s">
        <v>1111</v>
      </c>
      <c r="F377" s="63">
        <v>23</v>
      </c>
      <c r="G377" s="64" t="s">
        <v>413</v>
      </c>
      <c r="H377" s="65">
        <v>24325</v>
      </c>
      <c r="I377" s="66" t="s">
        <v>436</v>
      </c>
      <c r="J377" s="66"/>
    </row>
    <row r="378" spans="1:10">
      <c r="A378" s="63">
        <v>24</v>
      </c>
      <c r="B378" s="65">
        <v>24326</v>
      </c>
      <c r="C378" s="66" t="s">
        <v>609</v>
      </c>
      <c r="D378" s="68" t="s">
        <v>1112</v>
      </c>
      <c r="F378" s="63">
        <v>24</v>
      </c>
      <c r="G378" s="64" t="s">
        <v>413</v>
      </c>
      <c r="H378" s="65">
        <v>24326</v>
      </c>
      <c r="I378" s="66" t="s">
        <v>437</v>
      </c>
      <c r="J378" s="66"/>
    </row>
    <row r="379" spans="1:10">
      <c r="A379" s="63">
        <v>25</v>
      </c>
      <c r="B379" s="65">
        <v>24327</v>
      </c>
      <c r="C379" s="66" t="s">
        <v>538</v>
      </c>
      <c r="D379" s="68" t="s">
        <v>1113</v>
      </c>
      <c r="F379" s="63">
        <v>25</v>
      </c>
      <c r="G379" s="64" t="s">
        <v>413</v>
      </c>
      <c r="H379" s="65">
        <v>24327</v>
      </c>
      <c r="I379" s="66" t="s">
        <v>438</v>
      </c>
      <c r="J379" s="66"/>
    </row>
    <row r="380" spans="1:10">
      <c r="A380" s="63">
        <v>26</v>
      </c>
      <c r="B380" s="65">
        <v>24329</v>
      </c>
      <c r="C380" s="66" t="s">
        <v>742</v>
      </c>
      <c r="D380" s="68" t="s">
        <v>1114</v>
      </c>
      <c r="F380" s="63">
        <v>26</v>
      </c>
      <c r="G380" s="64" t="s">
        <v>413</v>
      </c>
      <c r="H380" s="65">
        <v>24329</v>
      </c>
      <c r="I380" s="66" t="s">
        <v>439</v>
      </c>
      <c r="J380" s="66"/>
    </row>
    <row r="381" spans="1:10">
      <c r="A381" s="63">
        <v>27</v>
      </c>
      <c r="B381" s="65">
        <v>24330</v>
      </c>
      <c r="C381" s="66" t="s">
        <v>600</v>
      </c>
      <c r="D381" s="68" t="s">
        <v>1115</v>
      </c>
      <c r="F381" s="63">
        <v>27</v>
      </c>
      <c r="G381" s="64" t="s">
        <v>413</v>
      </c>
      <c r="H381" s="65">
        <v>24330</v>
      </c>
      <c r="I381" s="66" t="s">
        <v>440</v>
      </c>
      <c r="J381" s="66"/>
    </row>
    <row r="382" spans="1:10">
      <c r="A382" s="63">
        <v>28</v>
      </c>
      <c r="B382" s="65">
        <v>24368</v>
      </c>
      <c r="C382" s="66" t="s">
        <v>743</v>
      </c>
      <c r="D382" s="68" t="s">
        <v>1116</v>
      </c>
      <c r="F382" s="63">
        <v>28</v>
      </c>
      <c r="G382" s="64" t="s">
        <v>413</v>
      </c>
      <c r="H382" s="65">
        <v>24368</v>
      </c>
      <c r="I382" s="66" t="s">
        <v>441</v>
      </c>
      <c r="J382" s="66"/>
    </row>
    <row r="383" spans="1:10">
      <c r="A383" s="63">
        <v>29</v>
      </c>
      <c r="B383" s="65">
        <v>24369</v>
      </c>
      <c r="C383" s="66" t="s">
        <v>565</v>
      </c>
      <c r="D383" s="68" t="s">
        <v>1117</v>
      </c>
      <c r="F383" s="63">
        <v>29</v>
      </c>
      <c r="G383" s="64" t="s">
        <v>413</v>
      </c>
      <c r="H383" s="65">
        <v>24369</v>
      </c>
      <c r="I383" s="66" t="s">
        <v>442</v>
      </c>
      <c r="J383" s="66"/>
    </row>
    <row r="384" spans="1:10">
      <c r="A384" s="63">
        <v>1</v>
      </c>
      <c r="B384" s="65">
        <v>63</v>
      </c>
      <c r="C384" s="66" t="s">
        <v>618</v>
      </c>
      <c r="D384" s="68" t="s">
        <v>1118</v>
      </c>
      <c r="F384" s="63">
        <v>1</v>
      </c>
      <c r="G384" s="64" t="s">
        <v>443</v>
      </c>
      <c r="H384" s="65">
        <v>63</v>
      </c>
      <c r="I384" s="66" t="s">
        <v>444</v>
      </c>
      <c r="J384" s="66"/>
    </row>
    <row r="385" spans="1:10">
      <c r="A385" s="63">
        <v>2</v>
      </c>
      <c r="B385" s="65">
        <v>93</v>
      </c>
      <c r="C385" s="66" t="s">
        <v>571</v>
      </c>
      <c r="D385" s="68" t="s">
        <v>1119</v>
      </c>
      <c r="F385" s="63">
        <v>2</v>
      </c>
      <c r="G385" s="64" t="s">
        <v>443</v>
      </c>
      <c r="H385" s="65">
        <v>93</v>
      </c>
      <c r="I385" s="66" t="s">
        <v>445</v>
      </c>
      <c r="J385" s="66"/>
    </row>
    <row r="386" spans="1:10">
      <c r="A386" s="63">
        <v>3</v>
      </c>
      <c r="B386" s="65">
        <v>182</v>
      </c>
      <c r="C386" s="66" t="s">
        <v>538</v>
      </c>
      <c r="D386" s="68" t="s">
        <v>1120</v>
      </c>
      <c r="F386" s="63">
        <v>3</v>
      </c>
      <c r="G386" s="64" t="s">
        <v>443</v>
      </c>
      <c r="H386" s="65">
        <v>182</v>
      </c>
      <c r="I386" s="66" t="s">
        <v>446</v>
      </c>
      <c r="J386" s="66"/>
    </row>
    <row r="387" spans="1:10">
      <c r="A387" s="63">
        <v>4</v>
      </c>
      <c r="B387" s="65">
        <v>755</v>
      </c>
      <c r="C387" s="66" t="s">
        <v>744</v>
      </c>
      <c r="D387" s="68" t="s">
        <v>1121</v>
      </c>
      <c r="F387" s="63">
        <v>4</v>
      </c>
      <c r="G387" s="64" t="s">
        <v>443</v>
      </c>
      <c r="H387" s="65">
        <v>755</v>
      </c>
      <c r="I387" s="66" t="s">
        <v>447</v>
      </c>
      <c r="J387" s="66"/>
    </row>
    <row r="388" spans="1:10">
      <c r="A388" s="63">
        <v>5</v>
      </c>
      <c r="B388" s="65">
        <v>840</v>
      </c>
      <c r="C388" s="66" t="s">
        <v>745</v>
      </c>
      <c r="D388" s="68" t="s">
        <v>1122</v>
      </c>
      <c r="F388" s="63">
        <v>5</v>
      </c>
      <c r="G388" s="64" t="s">
        <v>443</v>
      </c>
      <c r="H388" s="65">
        <v>840</v>
      </c>
      <c r="I388" s="66" t="s">
        <v>448</v>
      </c>
      <c r="J388" s="66"/>
    </row>
    <row r="389" spans="1:10">
      <c r="A389" s="63">
        <v>6</v>
      </c>
      <c r="B389" s="65">
        <v>2405</v>
      </c>
      <c r="C389" s="66" t="s">
        <v>746</v>
      </c>
      <c r="D389" s="68" t="s">
        <v>1123</v>
      </c>
      <c r="F389" s="63">
        <v>6</v>
      </c>
      <c r="G389" s="64" t="s">
        <v>443</v>
      </c>
      <c r="H389" s="65">
        <v>2405</v>
      </c>
      <c r="I389" s="66" t="s">
        <v>449</v>
      </c>
      <c r="J389" s="66"/>
    </row>
    <row r="390" spans="1:10">
      <c r="A390" s="63">
        <v>7</v>
      </c>
      <c r="B390" s="65">
        <v>2407</v>
      </c>
      <c r="C390" s="66" t="s">
        <v>747</v>
      </c>
      <c r="D390" s="68" t="s">
        <v>1124</v>
      </c>
      <c r="F390" s="63">
        <v>7</v>
      </c>
      <c r="G390" s="64" t="s">
        <v>443</v>
      </c>
      <c r="H390" s="65">
        <v>2407</v>
      </c>
      <c r="I390" s="66" t="s">
        <v>450</v>
      </c>
      <c r="J390" s="66"/>
    </row>
    <row r="391" spans="1:10">
      <c r="A391" s="63">
        <v>8</v>
      </c>
      <c r="B391" s="65">
        <v>2408</v>
      </c>
      <c r="C391" s="66" t="s">
        <v>609</v>
      </c>
      <c r="D391" s="68" t="s">
        <v>1125</v>
      </c>
      <c r="F391" s="63">
        <v>8</v>
      </c>
      <c r="G391" s="64" t="s">
        <v>443</v>
      </c>
      <c r="H391" s="65">
        <v>2408</v>
      </c>
      <c r="I391" s="66" t="s">
        <v>451</v>
      </c>
      <c r="J391" s="66"/>
    </row>
    <row r="392" spans="1:10">
      <c r="A392" s="63">
        <v>9</v>
      </c>
      <c r="B392" s="65">
        <v>2414</v>
      </c>
      <c r="C392" s="66" t="s">
        <v>565</v>
      </c>
      <c r="D392" s="68" t="s">
        <v>1126</v>
      </c>
      <c r="F392" s="63">
        <v>9</v>
      </c>
      <c r="G392" s="64" t="s">
        <v>443</v>
      </c>
      <c r="H392" s="65">
        <v>2414</v>
      </c>
      <c r="I392" s="66" t="s">
        <v>452</v>
      </c>
      <c r="J392" s="66"/>
    </row>
    <row r="393" spans="1:10">
      <c r="A393" s="63">
        <v>10</v>
      </c>
      <c r="B393" s="65">
        <v>2415</v>
      </c>
      <c r="C393" s="66" t="s">
        <v>544</v>
      </c>
      <c r="D393" s="68" t="s">
        <v>1046</v>
      </c>
      <c r="F393" s="63">
        <v>10</v>
      </c>
      <c r="G393" s="64" t="s">
        <v>443</v>
      </c>
      <c r="H393" s="65">
        <v>2415</v>
      </c>
      <c r="I393" s="66" t="s">
        <v>453</v>
      </c>
      <c r="J393" s="66"/>
    </row>
    <row r="394" spans="1:10">
      <c r="A394" s="63">
        <v>11</v>
      </c>
      <c r="B394" s="65">
        <v>2416</v>
      </c>
      <c r="C394" s="66" t="s">
        <v>545</v>
      </c>
      <c r="D394" s="68" t="s">
        <v>1127</v>
      </c>
      <c r="F394" s="63">
        <v>11</v>
      </c>
      <c r="G394" s="64" t="s">
        <v>443</v>
      </c>
      <c r="H394" s="65">
        <v>2416</v>
      </c>
      <c r="I394" s="66" t="s">
        <v>454</v>
      </c>
      <c r="J394" s="66"/>
    </row>
    <row r="395" spans="1:10">
      <c r="A395" s="63">
        <v>12</v>
      </c>
      <c r="B395" s="65">
        <v>2420</v>
      </c>
      <c r="C395" s="66" t="s">
        <v>702</v>
      </c>
      <c r="D395" s="68" t="s">
        <v>1128</v>
      </c>
      <c r="F395" s="63">
        <v>12</v>
      </c>
      <c r="G395" s="64" t="s">
        <v>443</v>
      </c>
      <c r="H395" s="65">
        <v>2420</v>
      </c>
      <c r="I395" s="66" t="s">
        <v>455</v>
      </c>
      <c r="J395" s="66"/>
    </row>
    <row r="396" spans="1:10">
      <c r="A396" s="63">
        <v>13</v>
      </c>
      <c r="B396" s="65">
        <v>2423</v>
      </c>
      <c r="C396" s="66" t="s">
        <v>748</v>
      </c>
      <c r="D396" s="68" t="s">
        <v>1129</v>
      </c>
      <c r="F396" s="63">
        <v>13</v>
      </c>
      <c r="G396" s="64" t="s">
        <v>443</v>
      </c>
      <c r="H396" s="65">
        <v>2423</v>
      </c>
      <c r="I396" s="66" t="s">
        <v>456</v>
      </c>
      <c r="J396" s="66"/>
    </row>
    <row r="397" spans="1:10">
      <c r="A397" s="63">
        <v>14</v>
      </c>
      <c r="B397" s="65">
        <v>2424</v>
      </c>
      <c r="C397" s="66" t="s">
        <v>749</v>
      </c>
      <c r="D397" s="68" t="s">
        <v>1130</v>
      </c>
      <c r="F397" s="63">
        <v>14</v>
      </c>
      <c r="G397" s="64" t="s">
        <v>443</v>
      </c>
      <c r="H397" s="65">
        <v>2424</v>
      </c>
      <c r="I397" s="66" t="s">
        <v>457</v>
      </c>
      <c r="J397" s="66"/>
    </row>
    <row r="398" spans="1:10">
      <c r="A398" s="63">
        <v>15</v>
      </c>
      <c r="B398" s="65">
        <v>2425</v>
      </c>
      <c r="C398" s="66" t="s">
        <v>750</v>
      </c>
      <c r="D398" s="68" t="s">
        <v>1131</v>
      </c>
      <c r="F398" s="63">
        <v>15</v>
      </c>
      <c r="G398" s="64" t="s">
        <v>443</v>
      </c>
      <c r="H398" s="65">
        <v>2425</v>
      </c>
      <c r="I398" s="66" t="s">
        <v>458</v>
      </c>
      <c r="J398" s="66"/>
    </row>
    <row r="399" spans="1:10">
      <c r="A399" s="63">
        <v>16</v>
      </c>
      <c r="B399" s="65">
        <v>2426</v>
      </c>
      <c r="C399" s="66" t="s">
        <v>751</v>
      </c>
      <c r="D399" s="68" t="s">
        <v>1132</v>
      </c>
      <c r="F399" s="63">
        <v>16</v>
      </c>
      <c r="G399" s="64" t="s">
        <v>443</v>
      </c>
      <c r="H399" s="65">
        <v>2426</v>
      </c>
      <c r="I399" s="66" t="s">
        <v>459</v>
      </c>
      <c r="J399" s="66"/>
    </row>
    <row r="400" spans="1:10">
      <c r="A400" s="63">
        <v>17</v>
      </c>
      <c r="B400" s="65">
        <v>2430</v>
      </c>
      <c r="C400" s="66" t="s">
        <v>564</v>
      </c>
      <c r="D400" s="68" t="s">
        <v>1133</v>
      </c>
      <c r="F400" s="63">
        <v>17</v>
      </c>
      <c r="G400" s="64" t="s">
        <v>443</v>
      </c>
      <c r="H400" s="65">
        <v>2430</v>
      </c>
      <c r="I400" s="66" t="s">
        <v>460</v>
      </c>
      <c r="J400" s="66"/>
    </row>
    <row r="401" spans="1:10">
      <c r="A401" s="63">
        <v>18</v>
      </c>
      <c r="B401" s="65">
        <v>2433</v>
      </c>
      <c r="C401" s="66" t="s">
        <v>516</v>
      </c>
      <c r="D401" s="68" t="s">
        <v>1134</v>
      </c>
      <c r="F401" s="63">
        <v>18</v>
      </c>
      <c r="G401" s="64" t="s">
        <v>443</v>
      </c>
      <c r="H401" s="65">
        <v>2433</v>
      </c>
      <c r="I401" s="66" t="s">
        <v>461</v>
      </c>
      <c r="J401" s="66"/>
    </row>
    <row r="402" spans="1:10">
      <c r="A402" s="63">
        <v>19</v>
      </c>
      <c r="B402" s="65">
        <v>2437</v>
      </c>
      <c r="C402" s="66" t="s">
        <v>628</v>
      </c>
      <c r="D402" s="68" t="s">
        <v>1135</v>
      </c>
      <c r="F402" s="63">
        <v>19</v>
      </c>
      <c r="G402" s="64" t="s">
        <v>443</v>
      </c>
      <c r="H402" s="65">
        <v>2437</v>
      </c>
      <c r="I402" s="66" t="s">
        <v>462</v>
      </c>
      <c r="J402" s="66"/>
    </row>
    <row r="403" spans="1:10">
      <c r="A403" s="63">
        <v>20</v>
      </c>
      <c r="B403" s="65">
        <v>2438</v>
      </c>
      <c r="C403" s="66" t="s">
        <v>637</v>
      </c>
      <c r="D403" s="68" t="s">
        <v>1136</v>
      </c>
      <c r="F403" s="63">
        <v>20</v>
      </c>
      <c r="G403" s="64" t="s">
        <v>443</v>
      </c>
      <c r="H403" s="65">
        <v>2438</v>
      </c>
      <c r="I403" s="66" t="s">
        <v>463</v>
      </c>
      <c r="J403" s="66"/>
    </row>
    <row r="404" spans="1:10">
      <c r="A404" s="63">
        <v>21</v>
      </c>
      <c r="B404" s="65">
        <v>2440</v>
      </c>
      <c r="C404" s="66" t="s">
        <v>606</v>
      </c>
      <c r="D404" s="68" t="s">
        <v>1137</v>
      </c>
      <c r="F404" s="63">
        <v>21</v>
      </c>
      <c r="G404" s="64" t="s">
        <v>443</v>
      </c>
      <c r="H404" s="65">
        <v>2440</v>
      </c>
      <c r="I404" s="66" t="s">
        <v>464</v>
      </c>
      <c r="J404" s="66"/>
    </row>
    <row r="405" spans="1:10">
      <c r="A405" s="63">
        <v>22</v>
      </c>
      <c r="B405" s="65">
        <v>2442</v>
      </c>
      <c r="C405" s="66" t="s">
        <v>550</v>
      </c>
      <c r="D405" s="68" t="s">
        <v>1138</v>
      </c>
      <c r="F405" s="63">
        <v>22</v>
      </c>
      <c r="G405" s="64" t="s">
        <v>443</v>
      </c>
      <c r="H405" s="65">
        <v>2442</v>
      </c>
      <c r="I405" s="66" t="s">
        <v>465</v>
      </c>
      <c r="J405" s="66"/>
    </row>
    <row r="406" spans="1:10">
      <c r="A406" s="63">
        <v>23</v>
      </c>
      <c r="B406" s="65">
        <v>2449</v>
      </c>
      <c r="C406" s="66" t="s">
        <v>646</v>
      </c>
      <c r="D406" s="68" t="s">
        <v>1004</v>
      </c>
      <c r="F406" s="63">
        <v>23</v>
      </c>
      <c r="G406" s="64" t="s">
        <v>443</v>
      </c>
      <c r="H406" s="65">
        <v>2449</v>
      </c>
      <c r="I406" s="66" t="s">
        <v>466</v>
      </c>
      <c r="J406" s="66"/>
    </row>
    <row r="407" spans="1:10">
      <c r="A407" s="63">
        <v>24</v>
      </c>
      <c r="B407" s="65">
        <v>2508</v>
      </c>
      <c r="C407" s="66" t="s">
        <v>717</v>
      </c>
      <c r="D407" s="68" t="s">
        <v>1139</v>
      </c>
      <c r="F407" s="63">
        <v>24</v>
      </c>
      <c r="G407" s="64" t="s">
        <v>443</v>
      </c>
      <c r="H407" s="65">
        <v>2508</v>
      </c>
      <c r="I407" s="66" t="s">
        <v>467</v>
      </c>
      <c r="J407" s="66"/>
    </row>
    <row r="408" spans="1:10">
      <c r="A408" s="63">
        <v>25</v>
      </c>
      <c r="B408" s="65">
        <v>2513</v>
      </c>
      <c r="C408" s="66" t="s">
        <v>597</v>
      </c>
      <c r="D408" s="68" t="s">
        <v>1140</v>
      </c>
      <c r="F408" s="63">
        <v>25</v>
      </c>
      <c r="G408" s="64" t="s">
        <v>443</v>
      </c>
      <c r="H408" s="65">
        <v>2513</v>
      </c>
      <c r="I408" s="66" t="s">
        <v>468</v>
      </c>
      <c r="J408" s="66"/>
    </row>
    <row r="409" spans="1:10">
      <c r="A409" s="63">
        <v>26</v>
      </c>
      <c r="B409" s="65">
        <v>2550</v>
      </c>
      <c r="C409" s="66" t="s">
        <v>752</v>
      </c>
      <c r="D409" s="68" t="s">
        <v>1141</v>
      </c>
      <c r="F409" s="63">
        <v>26</v>
      </c>
      <c r="G409" s="64" t="s">
        <v>443</v>
      </c>
      <c r="H409" s="65">
        <v>2550</v>
      </c>
      <c r="I409" s="66" t="s">
        <v>469</v>
      </c>
      <c r="J409" s="66"/>
    </row>
    <row r="410" spans="1:10">
      <c r="A410" s="63">
        <v>1</v>
      </c>
      <c r="B410" s="65">
        <v>535</v>
      </c>
      <c r="C410" s="66" t="s">
        <v>753</v>
      </c>
      <c r="D410" s="68" t="s">
        <v>1142</v>
      </c>
      <c r="F410" s="63">
        <v>1</v>
      </c>
      <c r="G410" s="64" t="s">
        <v>470</v>
      </c>
      <c r="H410" s="65">
        <v>535</v>
      </c>
      <c r="I410" s="66" t="s">
        <v>471</v>
      </c>
      <c r="J410" s="66"/>
    </row>
    <row r="411" spans="1:10">
      <c r="A411" s="63">
        <v>2</v>
      </c>
      <c r="B411" s="65">
        <v>537</v>
      </c>
      <c r="C411" s="66" t="s">
        <v>754</v>
      </c>
      <c r="D411" s="68" t="s">
        <v>1143</v>
      </c>
      <c r="F411" s="63">
        <v>2</v>
      </c>
      <c r="G411" s="64" t="s">
        <v>470</v>
      </c>
      <c r="H411" s="65">
        <v>537</v>
      </c>
      <c r="I411" s="66" t="s">
        <v>472</v>
      </c>
      <c r="J411" s="66"/>
    </row>
    <row r="412" spans="1:10">
      <c r="A412" s="63">
        <v>3</v>
      </c>
      <c r="B412" s="65">
        <v>558</v>
      </c>
      <c r="C412" s="66" t="s">
        <v>676</v>
      </c>
      <c r="D412" s="68" t="s">
        <v>1144</v>
      </c>
      <c r="F412" s="63">
        <v>3</v>
      </c>
      <c r="G412" s="64" t="s">
        <v>470</v>
      </c>
      <c r="H412" s="65">
        <v>558</v>
      </c>
      <c r="I412" s="66" t="s">
        <v>473</v>
      </c>
      <c r="J412" s="66"/>
    </row>
    <row r="413" spans="1:10">
      <c r="A413" s="63">
        <v>4</v>
      </c>
      <c r="B413" s="65">
        <v>2027</v>
      </c>
      <c r="C413" s="66" t="s">
        <v>629</v>
      </c>
      <c r="D413" s="68" t="s">
        <v>996</v>
      </c>
      <c r="F413" s="63">
        <v>4</v>
      </c>
      <c r="G413" s="64" t="s">
        <v>470</v>
      </c>
      <c r="H413" s="65">
        <v>2027</v>
      </c>
      <c r="I413" s="66" t="s">
        <v>474</v>
      </c>
      <c r="J413" s="66"/>
    </row>
    <row r="414" spans="1:10">
      <c r="A414" s="63">
        <v>5</v>
      </c>
      <c r="B414" s="65">
        <v>2209</v>
      </c>
      <c r="C414" s="66" t="s">
        <v>581</v>
      </c>
      <c r="D414" s="68" t="s">
        <v>1145</v>
      </c>
      <c r="F414" s="63">
        <v>5</v>
      </c>
      <c r="G414" s="64" t="s">
        <v>470</v>
      </c>
      <c r="H414" s="65">
        <v>2209</v>
      </c>
      <c r="I414" s="66" t="s">
        <v>475</v>
      </c>
      <c r="J414" s="66"/>
    </row>
    <row r="415" spans="1:10">
      <c r="A415" s="63">
        <v>6</v>
      </c>
      <c r="B415" s="65">
        <v>2214</v>
      </c>
      <c r="C415" s="66" t="s">
        <v>679</v>
      </c>
      <c r="D415" s="68" t="s">
        <v>1146</v>
      </c>
      <c r="F415" s="63">
        <v>6</v>
      </c>
      <c r="G415" s="64" t="s">
        <v>470</v>
      </c>
      <c r="H415" s="65">
        <v>2214</v>
      </c>
      <c r="I415" s="66" t="s">
        <v>476</v>
      </c>
      <c r="J415" s="66"/>
    </row>
    <row r="416" spans="1:10">
      <c r="A416" s="63">
        <v>7</v>
      </c>
      <c r="B416" s="65">
        <v>2215</v>
      </c>
      <c r="C416" s="66" t="s">
        <v>667</v>
      </c>
      <c r="D416" s="68" t="s">
        <v>1147</v>
      </c>
      <c r="F416" s="63">
        <v>7</v>
      </c>
      <c r="G416" s="64" t="s">
        <v>470</v>
      </c>
      <c r="H416" s="65">
        <v>2215</v>
      </c>
      <c r="I416" s="66" t="s">
        <v>477</v>
      </c>
      <c r="J416" s="66"/>
    </row>
    <row r="417" spans="1:10">
      <c r="A417" s="63">
        <v>8</v>
      </c>
      <c r="B417" s="65">
        <v>2217</v>
      </c>
      <c r="C417" s="66" t="s">
        <v>538</v>
      </c>
      <c r="D417" s="68" t="s">
        <v>1148</v>
      </c>
      <c r="F417" s="63">
        <v>8</v>
      </c>
      <c r="G417" s="64" t="s">
        <v>470</v>
      </c>
      <c r="H417" s="65">
        <v>2217</v>
      </c>
      <c r="I417" s="66" t="s">
        <v>478</v>
      </c>
      <c r="J417" s="66"/>
    </row>
    <row r="418" spans="1:10">
      <c r="A418" s="63">
        <v>9</v>
      </c>
      <c r="B418" s="65">
        <v>2219</v>
      </c>
      <c r="C418" s="66" t="s">
        <v>628</v>
      </c>
      <c r="D418" s="68" t="s">
        <v>1149</v>
      </c>
      <c r="F418" s="63">
        <v>9</v>
      </c>
      <c r="G418" s="64" t="s">
        <v>470</v>
      </c>
      <c r="H418" s="65">
        <v>2219</v>
      </c>
      <c r="I418" s="66" t="s">
        <v>479</v>
      </c>
      <c r="J418" s="66"/>
    </row>
    <row r="419" spans="1:10">
      <c r="A419" s="63">
        <v>10</v>
      </c>
      <c r="B419" s="65">
        <v>2226</v>
      </c>
      <c r="C419" s="66" t="s">
        <v>706</v>
      </c>
      <c r="D419" s="68" t="s">
        <v>1150</v>
      </c>
      <c r="F419" s="63">
        <v>10</v>
      </c>
      <c r="G419" s="64" t="s">
        <v>470</v>
      </c>
      <c r="H419" s="65">
        <v>2226</v>
      </c>
      <c r="I419" s="66" t="s">
        <v>480</v>
      </c>
      <c r="J419" s="66"/>
    </row>
    <row r="420" spans="1:10">
      <c r="A420" s="63">
        <v>11</v>
      </c>
      <c r="B420" s="65">
        <v>2229</v>
      </c>
      <c r="C420" s="66" t="s">
        <v>677</v>
      </c>
      <c r="D420" s="68" t="s">
        <v>779</v>
      </c>
      <c r="F420" s="63">
        <v>11</v>
      </c>
      <c r="G420" s="64" t="s">
        <v>470</v>
      </c>
      <c r="H420" s="65">
        <v>2229</v>
      </c>
      <c r="I420" s="66" t="s">
        <v>481</v>
      </c>
      <c r="J420" s="66"/>
    </row>
    <row r="421" spans="1:10">
      <c r="A421" s="63">
        <v>12</v>
      </c>
      <c r="B421" s="65">
        <v>2230</v>
      </c>
      <c r="C421" s="66" t="s">
        <v>582</v>
      </c>
      <c r="D421" s="68" t="s">
        <v>1151</v>
      </c>
      <c r="F421" s="63">
        <v>12</v>
      </c>
      <c r="G421" s="64" t="s">
        <v>470</v>
      </c>
      <c r="H421" s="65">
        <v>2230</v>
      </c>
      <c r="I421" s="66" t="s">
        <v>482</v>
      </c>
      <c r="J421" s="66"/>
    </row>
    <row r="422" spans="1:10">
      <c r="A422" s="63">
        <v>13</v>
      </c>
      <c r="B422" s="65">
        <v>2232</v>
      </c>
      <c r="C422" s="66" t="s">
        <v>516</v>
      </c>
      <c r="D422" s="68" t="s">
        <v>1152</v>
      </c>
      <c r="F422" s="63">
        <v>13</v>
      </c>
      <c r="G422" s="64" t="s">
        <v>470</v>
      </c>
      <c r="H422" s="65">
        <v>2232</v>
      </c>
      <c r="I422" s="66" t="s">
        <v>483</v>
      </c>
      <c r="J422" s="66"/>
    </row>
    <row r="423" spans="1:10">
      <c r="A423" s="63">
        <v>14</v>
      </c>
      <c r="B423" s="65">
        <v>2233</v>
      </c>
      <c r="C423" s="66" t="s">
        <v>582</v>
      </c>
      <c r="D423" s="68" t="s">
        <v>1153</v>
      </c>
      <c r="F423" s="63">
        <v>14</v>
      </c>
      <c r="G423" s="64" t="s">
        <v>470</v>
      </c>
      <c r="H423" s="65">
        <v>2233</v>
      </c>
      <c r="I423" s="66" t="s">
        <v>484</v>
      </c>
      <c r="J423" s="66"/>
    </row>
    <row r="424" spans="1:10">
      <c r="A424" s="63">
        <v>15</v>
      </c>
      <c r="B424" s="65">
        <v>2238</v>
      </c>
      <c r="C424" s="66" t="s">
        <v>545</v>
      </c>
      <c r="D424" s="68" t="s">
        <v>1154</v>
      </c>
      <c r="F424" s="63">
        <v>15</v>
      </c>
      <c r="G424" s="64" t="s">
        <v>470</v>
      </c>
      <c r="H424" s="65">
        <v>2238</v>
      </c>
      <c r="I424" s="66" t="s">
        <v>485</v>
      </c>
      <c r="J424" s="66"/>
    </row>
    <row r="425" spans="1:10">
      <c r="A425" s="63">
        <v>16</v>
      </c>
      <c r="B425" s="65">
        <v>2239</v>
      </c>
      <c r="C425" s="66" t="s">
        <v>545</v>
      </c>
      <c r="D425" s="68" t="s">
        <v>1155</v>
      </c>
      <c r="F425" s="63">
        <v>16</v>
      </c>
      <c r="G425" s="64" t="s">
        <v>470</v>
      </c>
      <c r="H425" s="65">
        <v>2239</v>
      </c>
      <c r="I425" s="66" t="s">
        <v>486</v>
      </c>
      <c r="J425" s="66"/>
    </row>
    <row r="426" spans="1:10">
      <c r="A426" s="63">
        <v>17</v>
      </c>
      <c r="B426" s="65">
        <v>2244</v>
      </c>
      <c r="C426" s="66" t="s">
        <v>755</v>
      </c>
      <c r="D426" s="68" t="s">
        <v>1156</v>
      </c>
      <c r="F426" s="63">
        <v>17</v>
      </c>
      <c r="G426" s="64" t="s">
        <v>470</v>
      </c>
      <c r="H426" s="65">
        <v>2244</v>
      </c>
      <c r="I426" s="66" t="s">
        <v>487</v>
      </c>
      <c r="J426" s="66"/>
    </row>
    <row r="427" spans="1:10">
      <c r="A427" s="63">
        <v>18</v>
      </c>
      <c r="B427" s="65">
        <v>2245</v>
      </c>
      <c r="C427" s="66" t="s">
        <v>566</v>
      </c>
      <c r="D427" s="68" t="s">
        <v>1157</v>
      </c>
      <c r="F427" s="63">
        <v>18</v>
      </c>
      <c r="G427" s="64" t="s">
        <v>470</v>
      </c>
      <c r="H427" s="65">
        <v>2245</v>
      </c>
      <c r="I427" s="66" t="s">
        <v>488</v>
      </c>
      <c r="J427" s="66"/>
    </row>
    <row r="428" spans="1:10">
      <c r="A428" s="63">
        <v>1</v>
      </c>
      <c r="B428" s="65">
        <v>7</v>
      </c>
      <c r="C428" s="66" t="s">
        <v>628</v>
      </c>
      <c r="D428" s="68" t="s">
        <v>1158</v>
      </c>
      <c r="F428" s="63">
        <v>1</v>
      </c>
      <c r="G428" s="17" t="s">
        <v>489</v>
      </c>
      <c r="H428" s="65">
        <v>7</v>
      </c>
      <c r="I428" s="66" t="s">
        <v>490</v>
      </c>
      <c r="J428" s="66"/>
    </row>
    <row r="429" spans="1:10">
      <c r="A429" s="63">
        <v>2</v>
      </c>
      <c r="B429" s="65">
        <v>24</v>
      </c>
      <c r="C429" s="66" t="s">
        <v>556</v>
      </c>
      <c r="D429" s="68" t="s">
        <v>1159</v>
      </c>
      <c r="F429" s="63">
        <v>2</v>
      </c>
      <c r="G429" s="17" t="s">
        <v>489</v>
      </c>
      <c r="H429" s="65">
        <v>24</v>
      </c>
      <c r="I429" s="66" t="s">
        <v>491</v>
      </c>
      <c r="J429" s="66"/>
    </row>
    <row r="430" spans="1:10">
      <c r="A430" s="63">
        <v>3</v>
      </c>
      <c r="B430" s="65">
        <v>48</v>
      </c>
      <c r="C430" s="66" t="s">
        <v>628</v>
      </c>
      <c r="D430" s="68" t="s">
        <v>1160</v>
      </c>
      <c r="F430" s="63">
        <v>3</v>
      </c>
      <c r="G430" s="17" t="s">
        <v>489</v>
      </c>
      <c r="H430" s="65">
        <v>48</v>
      </c>
      <c r="I430" s="66" t="s">
        <v>492</v>
      </c>
      <c r="J430" s="66"/>
    </row>
    <row r="431" spans="1:10">
      <c r="A431" s="63">
        <v>4</v>
      </c>
      <c r="B431" s="65">
        <v>50</v>
      </c>
      <c r="C431" s="66" t="s">
        <v>756</v>
      </c>
      <c r="D431" s="68" t="s">
        <v>1161</v>
      </c>
      <c r="F431" s="63">
        <v>4</v>
      </c>
      <c r="G431" s="17" t="s">
        <v>489</v>
      </c>
      <c r="H431" s="65">
        <v>50</v>
      </c>
      <c r="I431" s="66" t="s">
        <v>493</v>
      </c>
      <c r="J431" s="66"/>
    </row>
    <row r="432" spans="1:10">
      <c r="A432" s="63">
        <v>5</v>
      </c>
      <c r="B432" s="65">
        <v>52</v>
      </c>
      <c r="C432" s="66" t="s">
        <v>757</v>
      </c>
      <c r="D432" s="68" t="s">
        <v>1162</v>
      </c>
      <c r="F432" s="63">
        <v>5</v>
      </c>
      <c r="G432" s="17" t="s">
        <v>489</v>
      </c>
      <c r="H432" s="65">
        <v>52</v>
      </c>
      <c r="I432" s="66" t="s">
        <v>494</v>
      </c>
      <c r="J432" s="66"/>
    </row>
    <row r="433" spans="1:10">
      <c r="A433" s="63">
        <v>6</v>
      </c>
      <c r="B433" s="65">
        <v>54</v>
      </c>
      <c r="C433" s="66" t="s">
        <v>528</v>
      </c>
      <c r="D433" s="68" t="s">
        <v>1163</v>
      </c>
      <c r="F433" s="63">
        <v>6</v>
      </c>
      <c r="G433" s="17" t="s">
        <v>489</v>
      </c>
      <c r="H433" s="65">
        <v>54</v>
      </c>
      <c r="I433" s="66" t="s">
        <v>495</v>
      </c>
      <c r="J433" s="66"/>
    </row>
    <row r="434" spans="1:10">
      <c r="A434" s="63">
        <v>7</v>
      </c>
      <c r="B434" s="65">
        <v>56</v>
      </c>
      <c r="C434" s="66" t="s">
        <v>758</v>
      </c>
      <c r="D434" s="68" t="s">
        <v>1164</v>
      </c>
      <c r="F434" s="63">
        <v>7</v>
      </c>
      <c r="G434" s="17" t="s">
        <v>489</v>
      </c>
      <c r="H434" s="65">
        <v>56</v>
      </c>
      <c r="I434" s="66" t="s">
        <v>496</v>
      </c>
      <c r="J434" s="66"/>
    </row>
    <row r="435" spans="1:10">
      <c r="A435" s="63">
        <v>8</v>
      </c>
      <c r="B435" s="65">
        <v>62</v>
      </c>
      <c r="C435" s="66" t="s">
        <v>759</v>
      </c>
      <c r="D435" s="68" t="s">
        <v>1165</v>
      </c>
      <c r="F435" s="63">
        <v>8</v>
      </c>
      <c r="G435" s="17" t="s">
        <v>489</v>
      </c>
      <c r="H435" s="65">
        <v>62</v>
      </c>
      <c r="I435" s="66" t="s">
        <v>497</v>
      </c>
      <c r="J435" s="66"/>
    </row>
    <row r="436" spans="1:10">
      <c r="A436" s="63">
        <v>9</v>
      </c>
      <c r="B436" s="65">
        <v>102</v>
      </c>
      <c r="C436" s="66" t="s">
        <v>523</v>
      </c>
      <c r="D436" s="68" t="s">
        <v>1166</v>
      </c>
      <c r="F436" s="63">
        <v>9</v>
      </c>
      <c r="G436" s="17" t="s">
        <v>489</v>
      </c>
      <c r="H436" s="65">
        <v>102</v>
      </c>
      <c r="I436" s="66" t="s">
        <v>498</v>
      </c>
      <c r="J436" s="66"/>
    </row>
    <row r="437" spans="1:10">
      <c r="A437" s="63">
        <v>10</v>
      </c>
      <c r="B437" s="65">
        <v>122</v>
      </c>
      <c r="C437" s="66" t="s">
        <v>719</v>
      </c>
      <c r="D437" s="68" t="s">
        <v>1167</v>
      </c>
      <c r="F437" s="63">
        <v>10</v>
      </c>
      <c r="G437" s="17" t="s">
        <v>489</v>
      </c>
      <c r="H437" s="65">
        <v>122</v>
      </c>
      <c r="I437" s="66" t="s">
        <v>499</v>
      </c>
      <c r="J437" s="66"/>
    </row>
    <row r="438" spans="1:10">
      <c r="A438" s="63">
        <v>11</v>
      </c>
      <c r="B438" s="65">
        <v>130</v>
      </c>
      <c r="C438" s="66" t="s">
        <v>538</v>
      </c>
      <c r="D438" s="68" t="s">
        <v>1168</v>
      </c>
      <c r="F438" s="63">
        <v>11</v>
      </c>
      <c r="G438" s="17" t="s">
        <v>489</v>
      </c>
      <c r="H438" s="65">
        <v>130</v>
      </c>
      <c r="I438" s="66" t="s">
        <v>500</v>
      </c>
      <c r="J438" s="66"/>
    </row>
    <row r="439" spans="1:10">
      <c r="A439" s="63">
        <v>12</v>
      </c>
      <c r="B439" s="65">
        <v>149</v>
      </c>
      <c r="C439" s="66" t="s">
        <v>760</v>
      </c>
      <c r="D439" s="68" t="s">
        <v>1169</v>
      </c>
      <c r="F439" s="63">
        <v>12</v>
      </c>
      <c r="G439" s="17" t="s">
        <v>489</v>
      </c>
      <c r="H439" s="65">
        <v>149</v>
      </c>
      <c r="I439" s="66" t="s">
        <v>501</v>
      </c>
      <c r="J439" s="66"/>
    </row>
    <row r="440" spans="1:10">
      <c r="A440" s="63">
        <v>13</v>
      </c>
      <c r="B440" s="65">
        <v>154</v>
      </c>
      <c r="C440" s="66" t="s">
        <v>532</v>
      </c>
      <c r="D440" s="68" t="s">
        <v>1170</v>
      </c>
      <c r="F440" s="63">
        <v>13</v>
      </c>
      <c r="G440" s="17" t="s">
        <v>489</v>
      </c>
      <c r="H440" s="65">
        <v>154</v>
      </c>
      <c r="I440" s="66" t="s">
        <v>502</v>
      </c>
      <c r="J440" s="66"/>
    </row>
    <row r="441" spans="1:10">
      <c r="A441" s="63">
        <v>14</v>
      </c>
      <c r="B441" s="65">
        <v>163</v>
      </c>
      <c r="C441" s="66" t="s">
        <v>761</v>
      </c>
      <c r="D441" s="68" t="s">
        <v>1171</v>
      </c>
      <c r="F441" s="63">
        <v>14</v>
      </c>
      <c r="G441" s="17" t="s">
        <v>489</v>
      </c>
      <c r="H441" s="65">
        <v>163</v>
      </c>
      <c r="I441" s="66" t="s">
        <v>503</v>
      </c>
      <c r="J441" s="66"/>
    </row>
    <row r="442" spans="1:10">
      <c r="A442" s="63">
        <v>15</v>
      </c>
      <c r="B442" s="65">
        <v>176</v>
      </c>
      <c r="C442" s="66" t="s">
        <v>762</v>
      </c>
      <c r="D442" s="68" t="s">
        <v>1172</v>
      </c>
      <c r="F442" s="63">
        <v>15</v>
      </c>
      <c r="G442" s="17" t="s">
        <v>489</v>
      </c>
      <c r="H442" s="65">
        <v>176</v>
      </c>
      <c r="I442" s="66" t="s">
        <v>504</v>
      </c>
      <c r="J442" s="66"/>
    </row>
    <row r="443" spans="1:10">
      <c r="A443" s="63">
        <v>16</v>
      </c>
      <c r="B443" s="65">
        <v>226</v>
      </c>
      <c r="C443" s="66" t="s">
        <v>521</v>
      </c>
      <c r="D443" s="68" t="s">
        <v>1117</v>
      </c>
      <c r="F443" s="63">
        <v>16</v>
      </c>
      <c r="G443" s="17" t="s">
        <v>489</v>
      </c>
      <c r="H443" s="65">
        <v>226</v>
      </c>
      <c r="I443" s="66" t="s">
        <v>505</v>
      </c>
      <c r="J443" s="66"/>
    </row>
    <row r="444" spans="1:10">
      <c r="A444" s="63">
        <v>17</v>
      </c>
      <c r="B444" s="65">
        <v>268</v>
      </c>
      <c r="C444" s="66" t="s">
        <v>763</v>
      </c>
      <c r="D444" s="68" t="s">
        <v>1173</v>
      </c>
      <c r="F444" s="63">
        <v>17</v>
      </c>
      <c r="G444" s="17" t="s">
        <v>489</v>
      </c>
      <c r="H444" s="65">
        <v>268</v>
      </c>
      <c r="I444" s="66" t="s">
        <v>506</v>
      </c>
      <c r="J444" s="66"/>
    </row>
    <row r="445" spans="1:10">
      <c r="A445" s="63">
        <v>18</v>
      </c>
      <c r="B445" s="65">
        <v>274</v>
      </c>
      <c r="C445" s="66" t="s">
        <v>633</v>
      </c>
      <c r="D445" s="68" t="s">
        <v>1174</v>
      </c>
      <c r="F445" s="63">
        <v>18</v>
      </c>
      <c r="G445" s="17" t="s">
        <v>489</v>
      </c>
      <c r="H445" s="65">
        <v>274</v>
      </c>
      <c r="I445" s="66" t="s">
        <v>507</v>
      </c>
      <c r="J445" s="66"/>
    </row>
    <row r="446" spans="1:10">
      <c r="A446" s="63">
        <v>19</v>
      </c>
      <c r="B446" s="65">
        <v>2071</v>
      </c>
      <c r="C446" s="66" t="s">
        <v>694</v>
      </c>
      <c r="D446" s="68" t="s">
        <v>1175</v>
      </c>
      <c r="F446" s="63">
        <v>19</v>
      </c>
      <c r="G446" s="17" t="s">
        <v>489</v>
      </c>
      <c r="H446" s="65">
        <v>2071</v>
      </c>
      <c r="I446" s="66" t="s">
        <v>508</v>
      </c>
      <c r="J446" s="66"/>
    </row>
    <row r="447" spans="1:10">
      <c r="A447" s="63">
        <v>20</v>
      </c>
      <c r="B447" s="65">
        <v>2169</v>
      </c>
      <c r="C447" s="66" t="s">
        <v>764</v>
      </c>
      <c r="D447" s="68" t="s">
        <v>1176</v>
      </c>
      <c r="F447" s="63">
        <v>20</v>
      </c>
      <c r="G447" s="17" t="s">
        <v>489</v>
      </c>
      <c r="H447" s="65">
        <v>2169</v>
      </c>
      <c r="I447" s="66" t="s">
        <v>509</v>
      </c>
      <c r="J447" s="66"/>
    </row>
  </sheetData>
  <autoFilter ref="A1:O4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BOŞ</vt:lpstr>
      <vt:lpstr>ÖĞRENCİ LİSTESİ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Ayşen</dc:creator>
  <cp:lastModifiedBy>melik sibil</cp:lastModifiedBy>
  <cp:lastPrinted>2025-03-16T19:06:00Z</cp:lastPrinted>
  <dcterms:created xsi:type="dcterms:W3CDTF">2023-10-25T06:36:52Z</dcterms:created>
  <dcterms:modified xsi:type="dcterms:W3CDTF">2025-03-16T19:20:40Z</dcterms:modified>
</cp:coreProperties>
</file>